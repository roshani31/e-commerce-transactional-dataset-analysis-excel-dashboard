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Roshani Thombare\Downloads\"/>
    </mc:Choice>
  </mc:AlternateContent>
  <xr:revisionPtr revIDLastSave="0" documentId="13_ncr:1_{05235F92-1401-4AAD-9D56-433B495BBECC}" xr6:coauthVersionLast="47" xr6:coauthVersionMax="47" xr10:uidLastSave="{00000000-0000-0000-0000-000000000000}"/>
  <bookViews>
    <workbookView xWindow="0" yWindow="360" windowWidth="19420" windowHeight="10300" firstSheet="1" activeTab="5" xr2:uid="{346724B3-1C49-40AE-AA36-C77CF5D6DD09}"/>
  </bookViews>
  <sheets>
    <sheet name="Pivots" sheetId="5" r:id="rId1"/>
    <sheet name="Sheet3" sheetId="10" r:id="rId2"/>
    <sheet name="Sheet1" sheetId="17" r:id="rId3"/>
    <sheet name="Data" sheetId="1" r:id="rId4"/>
    <sheet name="Questions &amp; KPIs" sheetId="2" r:id="rId5"/>
    <sheet name="Dashboard" sheetId="3" r:id="rId6"/>
    <sheet name="Logo &amp; Colors" sheetId="4" r:id="rId7"/>
  </sheets>
  <definedNames>
    <definedName name="_xlchart.v5.0" hidden="1">Pivots!$G$73:$H$73</definedName>
    <definedName name="_xlchart.v5.1" hidden="1">Pivots!$G$74:$H$131</definedName>
    <definedName name="_xlchart.v5.10" hidden="1">Pivots!$I$73</definedName>
    <definedName name="_xlchart.v5.11" hidden="1">Pivots!$I$74:$I$131</definedName>
    <definedName name="_xlchart.v5.12" hidden="1">Pivots!$L$73:$M$73</definedName>
    <definedName name="_xlchart.v5.13" hidden="1">Pivots!$L$74:$M$131</definedName>
    <definedName name="_xlchart.v5.14" hidden="1">Pivots!$N$73</definedName>
    <definedName name="_xlchart.v5.15" hidden="1">Pivots!$N$74:$N$131</definedName>
    <definedName name="_xlchart.v5.2" hidden="1">Pivots!$I$73</definedName>
    <definedName name="_xlchart.v5.3" hidden="1">Pivots!$I$74:$I$131</definedName>
    <definedName name="_xlchart.v5.4" hidden="1">Pivots!$L$73:$M$73</definedName>
    <definedName name="_xlchart.v5.5" hidden="1">Pivots!$L$74:$M$131</definedName>
    <definedName name="_xlchart.v5.6" hidden="1">Pivots!$N$73</definedName>
    <definedName name="_xlchart.v5.7" hidden="1">Pivots!$N$74:$N$131</definedName>
    <definedName name="_xlchart.v5.8" hidden="1">Pivots!$G$73:$H$73</definedName>
    <definedName name="_xlchart.v5.9" hidden="1">Pivots!$G$74:$H$131</definedName>
    <definedName name="Slicer_Gender_Value">#N/A</definedName>
    <definedName name="Slicer_Order_Mode">#N/A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0" l="1"/>
  <c r="K4" i="10"/>
  <c r="L4" i="10"/>
  <c r="I4" i="10"/>
  <c r="H6" i="10"/>
  <c r="I6" i="10"/>
  <c r="J6" i="10"/>
  <c r="K6" i="10"/>
  <c r="L6" i="10"/>
  <c r="H7" i="10"/>
  <c r="I7" i="10"/>
  <c r="J7" i="10"/>
  <c r="K7" i="10"/>
  <c r="L7" i="10"/>
  <c r="H8" i="10"/>
  <c r="I8" i="10"/>
  <c r="J8" i="10"/>
  <c r="K8" i="10"/>
  <c r="L8" i="10"/>
  <c r="H9" i="10"/>
  <c r="I9" i="10"/>
  <c r="J9" i="10"/>
  <c r="K9" i="10"/>
  <c r="L9" i="10"/>
  <c r="L5" i="10"/>
  <c r="I5" i="10"/>
  <c r="J5" i="10"/>
  <c r="K5" i="10"/>
  <c r="H5" i="10"/>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<sst xmlns="http://schemas.openxmlformats.org/spreadsheetml/2006/main" count="14855" uniqueCount="2571">
  <si>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</si>
  <si>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</si>
  <si>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</si>
  <si>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</si>
  <si>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</si>
  <si>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</si>
  <si>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</si>
  <si>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</si>
  <si>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</si>
  <si>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</si>
  <si>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</si>
  <si>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</si>
  <si>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</si>
  <si>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</si>
  <si>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</si>
  <si>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</si>
  <si>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</si>
  <si>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</si>
  <si>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</si>
  <si>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</si>
  <si>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</si>
  <si>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</si>
  <si>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</si>
  <si>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</si>
  <si>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</si>
  <si>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</si>
  <si>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</si>
  <si>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</si>
  <si>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</si>
  <si>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</si>
  <si>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</si>
  <si>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</si>
  <si>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</si>
  <si>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</si>
  <si>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</si>
  <si>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</si>
  <si>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</si>
  <si>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</si>
  <si>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</si>
  <si>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</si>
  <si>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</si>
  <si>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</si>
  <si>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</si>
  <si>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</si>
  <si>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</si>
  <si>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</si>
  <si>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</si>
  <si>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</si>
  <si>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</si>
  <si>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</si>
  <si>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</si>
  <si>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</si>
  <si>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</si>
  <si>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</si>
  <si>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</si>
  <si>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</si>
  <si>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</si>
  <si>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</si>
  <si>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</si>
  <si>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</si>
  <si>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</si>
  <si>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</si>
  <si>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</si>
  <si>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</si>
  <si>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</si>
  <si>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</si>
  <si>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</si>
  <si>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</si>
  <si>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</si>
  <si>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</si>
  <si>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</si>
  <si>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</si>
  <si>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</si>
  <si>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</si>
  <si>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</si>
  <si>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</si>
  <si>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</si>
  <si>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</si>
  <si>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</si>
  <si>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</si>
  <si>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</si>
  <si>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</si>
  <si>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</si>
  <si>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</si>
  <si>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</si>
  <si>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</si>
  <si>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</si>
  <si>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</si>
  <si>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</si>
  <si>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</si>
  <si>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</si>
  <si>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</si>
  <si>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</si>
  <si>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</si>
  <si>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</si>
  <si>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</si>
  <si>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</si>
  <si>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</si>
  <si>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</si>
  <si>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</si>
  <si>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</si>
  <si>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</si>
  <si>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</si>
  <si>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</si>
  <si>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</si>
  <si>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</si>
  <si>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</si>
  <si>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</si>
  <si>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</si>
  <si>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</si>
  <si>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</si>
  <si>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</si>
  <si>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</si>
  <si>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</si>
  <si>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</si>
  <si>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</si>
  <si>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</si>
  <si>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</si>
  <si>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</si>
  <si>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</si>
  <si>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</si>
  <si>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</si>
  <si>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</si>
  <si>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</si>
  <si>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</si>
  <si>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</si>
  <si>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</si>
  <si>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</si>
  <si>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</si>
  <si>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</si>
  <si>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</si>
  <si>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</si>
  <si>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</si>
  <si>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</si>
  <si>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</si>
  <si>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</si>
  <si>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</si>
  <si>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</si>
  <si>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</si>
  <si>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</si>
  <si>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</si>
  <si>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</si>
  <si>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</si>
  <si>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</si>
  <si>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</si>
  <si>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</si>
  <si>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</si>
  <si>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</si>
  <si>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</si>
  <si>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</si>
  <si>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</si>
  <si>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</si>
  <si>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</si>
  <si>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</si>
  <si>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</si>
  <si>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</si>
  <si>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</si>
  <si>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</si>
  <si>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</si>
  <si>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</si>
  <si>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</si>
  <si>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</si>
  <si>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</si>
  <si>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</si>
  <si>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</si>
  <si>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</si>
  <si>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</si>
  <si>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</si>
  <si>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</si>
  <si>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</si>
  <si>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</si>
  <si>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</si>
  <si>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</si>
  <si>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</si>
  <si>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</si>
  <si>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</si>
  <si>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</si>
  <si>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</si>
  <si>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</si>
  <si>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</si>
  <si>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</si>
  <si>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</si>
  <si>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</si>
  <si>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</si>
  <si>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</si>
  <si>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</si>
  <si>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</si>
  <si>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</si>
  <si>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</si>
  <si>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</si>
  <si>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</si>
  <si>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</si>
  <si>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</si>
  <si>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</si>
  <si>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</si>
  <si>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</si>
  <si>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</si>
  <si>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</si>
  <si>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</si>
  <si>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</si>
  <si>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</si>
  <si>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</si>
  <si>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</si>
  <si>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</si>
  <si>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</si>
  <si>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</si>
  <si>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</si>
  <si>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</si>
  <si>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</si>
  <si>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</si>
  <si>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</si>
  <si>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</si>
  <si>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</si>
  <si>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</si>
  <si>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</si>
  <si>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</si>
  <si>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</si>
  <si>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</si>
  <si>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</si>
  <si>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</si>
  <si>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</si>
  <si>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</si>
  <si>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</si>
  <si>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</si>
  <si>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</si>
  <si>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</si>
  <si>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</si>
  <si>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</si>
  <si>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</si>
  <si>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</si>
  <si>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</si>
  <si>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</si>
  <si>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</si>
  <si>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</si>
  <si>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</si>
  <si>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</si>
  <si>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</si>
  <si>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</si>
  <si>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</si>
  <si>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</si>
  <si>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</si>
  <si>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</si>
  <si>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</si>
  <si>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</si>
  <si>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</si>
  <si>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</si>
  <si>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</si>
  <si>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</si>
  <si>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</si>
  <si>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</si>
  <si>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</si>
  <si>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</si>
  <si>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</si>
  <si>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</si>
  <si>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</si>
  <si>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</si>
  <si>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</si>
  <si>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</si>
  <si>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</si>
  <si>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</si>
  <si>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</si>
  <si>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</si>
  <si>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</si>
  <si>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</si>
  <si>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</si>
  <si>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</si>
  <si>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</si>
  <si>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</si>
  <si>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</si>
  <si>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</si>
  <si>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</si>
  <si>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</si>
  <si>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</si>
  <si>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</si>
  <si>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</si>
  <si>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</si>
  <si>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</si>
  <si>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</si>
  <si>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</si>
  <si>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</si>
  <si>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</si>
  <si>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</si>
  <si>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</si>
  <si>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</si>
  <si>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</si>
  <si>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</si>
  <si>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</si>
  <si>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</si>
  <si>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</si>
  <si>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</si>
  <si>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</si>
  <si>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</si>
  <si>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</si>
  <si>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</si>
  <si>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</si>
  <si>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</si>
  <si>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</si>
  <si>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</si>
  <si>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</si>
  <si>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</si>
  <si>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</si>
  <si>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</si>
  <si>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</si>
  <si>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</si>
  <si>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</si>
  <si>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</si>
  <si>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</si>
  <si>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</si>
  <si>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</si>
  <si>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</si>
  <si>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</si>
  <si>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</si>
  <si>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</si>
  <si>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</si>
  <si>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</si>
  <si>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</si>
  <si>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</si>
  <si>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</si>
  <si>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</si>
  <si>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</si>
  <si>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</si>
  <si>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</si>
  <si>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</si>
  <si>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</si>
  <si>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</si>
  <si>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</si>
  <si>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</si>
  <si>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</si>
  <si>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</si>
  <si>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</si>
  <si>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</si>
  <si>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</si>
  <si>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</si>
  <si>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</si>
  <si>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</si>
  <si>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</si>
  <si>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</si>
  <si>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</si>
  <si>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</si>
  <si>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</si>
  <si>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</si>
  <si>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</si>
  <si>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</si>
  <si>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</si>
  <si>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</si>
  <si>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</si>
  <si>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</si>
  <si>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</si>
  <si>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</si>
  <si>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</si>
  <si>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</si>
  <si>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</si>
  <si>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</si>
  <si>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</si>
  <si>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</si>
  <si>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</si>
  <si>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</si>
  <si>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</si>
  <si>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</si>
  <si>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</si>
  <si>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</si>
  <si>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</si>
  <si>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</si>
  <si>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</si>
  <si>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</si>
  <si>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</si>
  <si>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</si>
  <si>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</si>
  <si>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</si>
  <si>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</si>
  <si>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</si>
  <si>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</si>
  <si>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</si>
  <si>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</si>
  <si>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</si>
  <si>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</si>
  <si>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</si>
  <si>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</si>
  <si>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</si>
  <si>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</si>
  <si>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</si>
  <si>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</si>
  <si>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</si>
  <si>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</si>
  <si>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</si>
  <si>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</si>
  <si>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</si>
  <si>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</si>
  <si>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</si>
  <si>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</si>
  <si>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</si>
  <si>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</si>
  <si>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</si>
  <si>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</si>
  <si>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</si>
  <si>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</si>
  <si>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</si>
  <si>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</si>
  <si>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</si>
  <si>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</si>
  <si>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</si>
  <si>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</si>
  <si>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</si>
  <si>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</si>
  <si>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</si>
  <si>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</si>
  <si>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</si>
  <si>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</si>
  <si>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</si>
  <si>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</si>
  <si>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</si>
  <si>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</si>
  <si>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</si>
  <si>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</si>
  <si>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</si>
  <si>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</si>
  <si>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</si>
  <si>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</si>
  <si>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</si>
  <si>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</si>
  <si>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</si>
  <si>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</si>
  <si>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</si>
  <si>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</si>
  <si>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</si>
  <si>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</si>
  <si>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</si>
  <si>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</si>
  <si>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</si>
  <si>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</si>
  <si>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</si>
  <si>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</si>
  <si>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</si>
  <si>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</si>
  <si>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</si>
  <si>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</si>
  <si>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</si>
  <si>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</si>
  <si>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</si>
  <si>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</si>
  <si>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</si>
  <si>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</si>
  <si>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</si>
  <si>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</si>
  <si>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</si>
  <si>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</si>
  <si>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</si>
  <si>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</si>
  <si>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</si>
  <si>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</si>
  <si>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</si>
  <si>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</si>
  <si>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</si>
  <si>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</si>
  <si>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</si>
  <si>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</si>
  <si>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</si>
  <si>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</si>
  <si>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</si>
  <si>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</si>
  <si>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</si>
  <si>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</si>
  <si>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</si>
  <si>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</si>
  <si>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</si>
  <si>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</si>
  <si>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</si>
  <si>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</si>
  <si>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</si>
  <si>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</si>
  <si>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</si>
  <si>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</si>
  <si>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</si>
  <si>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</si>
  <si>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</si>
  <si>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</si>
  <si>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</si>
  <si>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</si>
  <si>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</si>
  <si>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</si>
  <si>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</si>
  <si>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</si>
  <si>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</si>
  <si>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</si>
  <si>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</si>
  <si>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</si>
  <si>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</si>
  <si>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</si>
  <si>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</si>
  <si>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</si>
  <si>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</si>
  <si>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</si>
  <si>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</si>
  <si>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</si>
  <si>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</si>
  <si>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</si>
  <si>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</si>
  <si>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</si>
  <si>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</si>
  <si>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</si>
  <si>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</si>
  <si>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</si>
  <si>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</si>
  <si>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</si>
  <si>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</si>
  <si>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</si>
  <si>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</si>
  <si>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</si>
  <si>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</si>
  <si>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</si>
  <si>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</si>
  <si>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</si>
  <si>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</si>
  <si>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</si>
  <si>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</si>
  <si>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</si>
  <si>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</si>
  <si>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</si>
  <si>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</si>
  <si>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</si>
  <si>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</si>
  <si>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</si>
  <si>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</si>
  <si>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</si>
  <si>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</si>
  <si>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</si>
  <si>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</si>
  <si>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</si>
  <si>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</si>
  <si>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</si>
  <si>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</si>
  <si>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</si>
  <si>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</si>
  <si>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</si>
  <si>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</si>
  <si>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</si>
  <si>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</si>
  <si>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</si>
  <si>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</si>
  <si>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</si>
  <si>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</si>
  <si>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</si>
  <si>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</si>
  <si>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</si>
  <si>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</si>
  <si>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</si>
  <si>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</si>
  <si>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</si>
  <si>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</si>
  <si>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</si>
  <si>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</si>
  <si>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</si>
  <si>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</si>
  <si>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</si>
  <si>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</si>
  <si>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</si>
  <si>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</si>
  <si>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</si>
  <si>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</si>
  <si>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</si>
  <si>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</si>
  <si>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</si>
  <si>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</si>
  <si>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</si>
  <si>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</si>
  <si>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</si>
  <si>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</si>
  <si>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</si>
  <si>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</si>
  <si>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</si>
  <si>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</si>
  <si>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</si>
  <si>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</si>
  <si>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</si>
  <si>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</si>
  <si>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</si>
  <si>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</si>
  <si>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</si>
  <si>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</si>
  <si>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</si>
  <si>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</si>
  <si>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</si>
  <si>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</si>
  <si>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</si>
  <si>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</si>
  <si>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</si>
  <si>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</si>
  <si>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</si>
  <si>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</si>
  <si>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</si>
  <si>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</si>
  <si>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</si>
  <si>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</si>
  <si>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</si>
  <si>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</si>
  <si>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</si>
  <si>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</si>
  <si>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</si>
  <si>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</si>
  <si>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</si>
  <si>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</si>
  <si>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</si>
  <si>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</si>
  <si>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</si>
  <si>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</si>
  <si>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</si>
  <si>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</si>
  <si>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</si>
  <si>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</si>
  <si>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</si>
  <si>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</si>
  <si>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</si>
  <si>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</si>
  <si>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</si>
  <si>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</si>
  <si>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</si>
  <si>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</si>
  <si>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</si>
  <si>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</si>
  <si>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</si>
  <si>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</si>
  <si>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</si>
  <si>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</si>
  <si>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</si>
  <si>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</si>
  <si>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</si>
  <si>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</si>
  <si>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</si>
  <si>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</si>
  <si>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</si>
  <si>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</si>
  <si>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</si>
  <si>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</si>
  <si>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</si>
  <si>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</si>
  <si>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</si>
  <si>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</si>
  <si>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</si>
  <si>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</si>
  <si>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</si>
  <si>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</si>
  <si>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</si>
  <si>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</si>
  <si>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</si>
  <si>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</si>
  <si>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</si>
  <si>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</si>
  <si>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</si>
  <si>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</si>
  <si>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</si>
  <si>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</si>
  <si>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</si>
  <si>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</si>
  <si>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</si>
  <si>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</si>
  <si>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</si>
  <si>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</si>
  <si>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</si>
  <si>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</si>
  <si>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</si>
  <si>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</si>
  <si>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</si>
  <si>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</si>
  <si>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</si>
  <si>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</si>
  <si>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</si>
  <si>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</si>
  <si>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</si>
  <si>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</si>
  <si>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</si>
  <si>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</si>
  <si>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</si>
  <si>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</si>
  <si>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</si>
  <si>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</si>
  <si>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</si>
  <si>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</si>
  <si>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</si>
  <si>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</si>
  <si>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</si>
  <si>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</si>
  <si>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</si>
  <si>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</si>
  <si>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</si>
  <si>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</si>
  <si>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</si>
  <si>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</si>
  <si>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</si>
  <si>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</si>
  <si>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</si>
  <si>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</si>
  <si>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</si>
  <si>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</si>
  <si>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</si>
  <si>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</si>
  <si>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</si>
  <si>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</si>
  <si>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</si>
  <si>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</si>
  <si>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</si>
  <si>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</si>
  <si>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</si>
  <si>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</si>
  <si>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</si>
  <si>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</si>
  <si>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</si>
  <si>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</si>
  <si>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</si>
  <si>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</si>
  <si>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</si>
  <si>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</si>
  <si>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</si>
  <si>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</si>
  <si>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</si>
  <si>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</si>
  <si>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</si>
  <si>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</si>
  <si>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</si>
  <si>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</si>
  <si>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</si>
  <si>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</si>
  <si>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</si>
  <si>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</si>
  <si>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</si>
  <si>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</si>
  <si>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</si>
  <si>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</si>
  <si>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</si>
  <si>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</si>
  <si>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</si>
  <si>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</si>
  <si>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</si>
  <si>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</si>
  <si>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</si>
  <si>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</si>
  <si>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</si>
  <si>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</si>
  <si>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</si>
  <si>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</si>
  <si>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</si>
  <si>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</si>
  <si>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</si>
  <si>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</si>
  <si>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</si>
  <si>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</si>
  <si>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</si>
  <si>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</si>
  <si>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</si>
  <si>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</si>
  <si>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</si>
  <si>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</si>
  <si>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</si>
  <si>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</si>
  <si>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</si>
  <si>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</si>
  <si>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</si>
  <si>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</si>
  <si>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</si>
  <si>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</si>
  <si>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</si>
  <si>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</si>
  <si>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</si>
  <si>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</si>
  <si>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</si>
  <si>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</si>
  <si>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</si>
  <si>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</si>
  <si>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</si>
  <si>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</si>
  <si>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</si>
  <si>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</si>
  <si>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</si>
  <si>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</si>
  <si>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</si>
  <si>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</si>
  <si>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</si>
  <si>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</si>
  <si>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</si>
  <si>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</si>
  <si>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</si>
  <si>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</si>
  <si>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</si>
  <si>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</si>
  <si>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</si>
  <si>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</si>
  <si>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</si>
  <si>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</si>
  <si>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</si>
  <si>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</si>
  <si>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</si>
  <si>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</si>
  <si>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</si>
  <si>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</si>
  <si>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</si>
  <si>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</si>
  <si>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</si>
  <si>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</si>
  <si>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</si>
  <si>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</si>
  <si>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</si>
  <si>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</si>
  <si>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</si>
  <si>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</si>
  <si>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</si>
  <si>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</si>
  <si>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</si>
  <si>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</si>
  <si>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</si>
  <si>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</si>
  <si>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</si>
  <si>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</si>
  <si>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</si>
  <si>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</si>
  <si>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</si>
  <si>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</si>
  <si>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</si>
  <si>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</si>
  <si>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</si>
  <si>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</si>
  <si>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</si>
  <si>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</si>
  <si>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</si>
  <si>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</si>
  <si>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</si>
  <si>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</si>
  <si>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</si>
  <si>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</si>
  <si>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</si>
  <si>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</si>
  <si>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</si>
  <si>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</si>
  <si>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</si>
  <si>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</si>
  <si>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</si>
  <si>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</si>
  <si>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</si>
  <si>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</si>
  <si>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</si>
  <si>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</si>
  <si>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</si>
  <si>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</si>
  <si>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</si>
  <si>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</si>
  <si>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</si>
  <si>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</si>
  <si>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</si>
  <si>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</si>
  <si>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</si>
  <si>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</si>
  <si>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</si>
  <si>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</si>
  <si>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</si>
  <si>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</si>
  <si>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</si>
  <si>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</si>
  <si>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</si>
  <si>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</si>
  <si>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</si>
  <si>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</si>
  <si>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</si>
  <si>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</si>
  <si>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</si>
  <si>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</si>
  <si>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</si>
  <si>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</si>
  <si>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</si>
  <si>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</si>
  <si>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</si>
  <si>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</si>
  <si>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</si>
  <si>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</si>
  <si>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</si>
  <si>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</si>
  <si>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</si>
  <si>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</si>
  <si>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</si>
  <si>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</si>
  <si>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</si>
  <si>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</si>
  <si>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</si>
  <si>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</si>
  <si>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</si>
  <si>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</si>
  <si>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</si>
  <si>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</si>
  <si>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</si>
  <si>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</si>
  <si>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</si>
  <si>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</si>
  <si>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</si>
  <si>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</si>
  <si>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</si>
  <si>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</si>
  <si>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</si>
  <si>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</si>
  <si>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</si>
  <si>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</si>
  <si>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</si>
  <si>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</si>
  <si>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</si>
  <si>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</si>
  <si>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</si>
  <si>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</si>
  <si>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</si>
  <si>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</si>
  <si>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</si>
  <si>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</si>
  <si>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</si>
  <si>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</si>
  <si>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</si>
  <si>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</si>
  <si>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</si>
  <si>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</si>
  <si>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</si>
  <si>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</si>
  <si>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</si>
  <si>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</si>
  <si>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</si>
  <si>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</si>
  <si>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</si>
  <si>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</si>
  <si>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</si>
  <si>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</si>
  <si>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</si>
  <si>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</si>
  <si>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</si>
  <si>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</si>
  <si>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</si>
  <si>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</si>
  <si>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</si>
  <si>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</si>
  <si>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</si>
  <si>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</si>
  <si>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</si>
  <si>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</si>
  <si>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</si>
  <si>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</si>
  <si>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</si>
  <si>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</si>
  <si>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</si>
  <si>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</si>
  <si>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</si>
  <si>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</si>
  <si>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</si>
  <si>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</si>
  <si>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</si>
  <si>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</si>
  <si>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</si>
  <si>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</si>
  <si>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</si>
  <si>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</si>
  <si>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</si>
  <si>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</si>
  <si>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</si>
  <si>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</si>
  <si>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</si>
  <si>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</si>
  <si>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</si>
  <si>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</si>
  <si>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</si>
  <si>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</si>
  <si>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</si>
  <si>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</si>
  <si>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</si>
  <si>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</si>
  <si>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</si>
  <si>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</si>
  <si>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</si>
  <si>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</si>
  <si>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</si>
  <si>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</si>
  <si>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</si>
  <si>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</si>
  <si>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</si>
  <si>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</si>
  <si>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</si>
  <si>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</si>
  <si>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</si>
  <si>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</si>
  <si>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</si>
  <si>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</si>
  <si>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</si>
  <si>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</si>
  <si>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</si>
  <si>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</si>
  <si>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</si>
  <si>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</si>
  <si>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</si>
  <si>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</si>
  <si>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</si>
  <si>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</si>
  <si>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</si>
  <si>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</si>
  <si>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</si>
  <si>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</si>
  <si>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</si>
  <si>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</si>
  <si>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</si>
  <si>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</si>
  <si>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</si>
  <si>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</si>
  <si>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</si>
  <si>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</si>
  <si>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</si>
  <si>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</si>
  <si>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</si>
  <si>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</si>
  <si>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</si>
  <si>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</si>
  <si>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</si>
  <si>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</si>
  <si>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</si>
  <si>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</si>
  <si>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</si>
  <si>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</si>
  <si>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</si>
  <si>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</si>
  <si>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</si>
  <si>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</si>
  <si>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</si>
  <si>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</si>
  <si>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</si>
  <si>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</si>
  <si>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</si>
  <si>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</si>
  <si>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</si>
  <si>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</si>
  <si>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</si>
  <si>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</si>
  <si>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</si>
  <si>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</si>
  <si>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</si>
  <si>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</si>
  <si>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</si>
  <si>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</si>
  <si>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</si>
  <si>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</si>
  <si>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</si>
  <si>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</si>
  <si>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</si>
  <si>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</si>
  <si>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</si>
  <si>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</si>
  <si>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</si>
  <si>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</si>
  <si>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</si>
  <si>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</si>
  <si>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</si>
  <si>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</si>
  <si>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</si>
  <si>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</si>
  <si>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</si>
  <si>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</si>
  <si>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</si>
  <si>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</si>
  <si>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</si>
  <si>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</si>
  <si>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</si>
  <si>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</si>
  <si>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</si>
  <si>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</si>
  <si>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</si>
  <si>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</si>
  <si>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</si>
  <si>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</si>
  <si>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</si>
  <si>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</si>
  <si>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</si>
  <si>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</si>
  <si>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</si>
  <si>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</si>
  <si>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</si>
  <si>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</si>
  <si>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</si>
  <si>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</si>
  <si>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</si>
  <si>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</si>
  <si>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</si>
  <si>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</si>
  <si>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</si>
  <si>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</si>
  <si>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</si>
  <si>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</si>
  <si>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</si>
  <si>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</si>
  <si>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</si>
  <si>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</si>
  <si>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</si>
  <si>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</si>
  <si>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</si>
  <si>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</si>
  <si>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</si>
  <si>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</si>
  <si>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</si>
  <si>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</si>
  <si>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</si>
  <si>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</si>
  <si>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</si>
  <si>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</si>
  <si>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</si>
  <si>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</si>
  <si>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</si>
  <si>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</si>
  <si>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</si>
  <si>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</si>
  <si>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</si>
  <si>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</si>
  <si>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</si>
  <si>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</si>
  <si>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</si>
  <si>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</si>
  <si>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</si>
  <si>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</si>
  <si>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</si>
  <si>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</si>
  <si>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</si>
  <si>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</si>
  <si>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</si>
  <si>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</si>
  <si>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</si>
  <si>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</si>
  <si>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</si>
  <si>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</si>
  <si>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</si>
  <si>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</si>
  <si>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</si>
  <si>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</si>
  <si>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</si>
  <si>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</si>
  <si>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</si>
  <si>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</si>
  <si>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</si>
  <si>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</si>
  <si>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</si>
  <si>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</si>
  <si>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</si>
  <si>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</si>
  <si>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</si>
  <si>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</si>
  <si>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</si>
  <si>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</si>
  <si>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</si>
  <si>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</si>
  <si>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</si>
  <si>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</si>
  <si>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</si>
  <si>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</si>
  <si>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</si>
  <si>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</si>
  <si>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</si>
  <si>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</si>
  <si>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</si>
  <si>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</si>
  <si>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</si>
  <si>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</si>
  <si>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</si>
  <si>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</si>
  <si>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</si>
  <si>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</si>
  <si>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</si>
  <si>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</si>
  <si>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</si>
  <si>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</si>
  <si>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</si>
  <si>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</si>
  <si>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</si>
  <si>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</si>
  <si>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</si>
  <si>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</si>
  <si>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</si>
  <si>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</si>
  <si>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</si>
  <si>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</si>
  <si>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</si>
  <si>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</si>
  <si>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</si>
  <si>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</si>
  <si>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</si>
  <si>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</si>
  <si>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</si>
  <si>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</si>
  <si>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</si>
  <si>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</si>
  <si>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</si>
  <si>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</si>
  <si>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</si>
  <si>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</si>
  <si>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</si>
  <si>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</si>
  <si>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</si>
  <si>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</si>
  <si>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</si>
  <si>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</si>
  <si>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</si>
  <si>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</si>
  <si>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</si>
  <si>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</si>
  <si>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</si>
  <si>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</si>
  <si>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</si>
  <si>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</si>
  <si>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</si>
  <si>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</si>
  <si>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</si>
  <si>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</si>
  <si>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</si>
  <si>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</si>
  <si>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</si>
  <si>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</si>
  <si>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</si>
  <si>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</si>
  <si>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</si>
  <si>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</si>
  <si>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</si>
  <si>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</si>
  <si>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</si>
  <si>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</si>
  <si>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</si>
  <si>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</si>
  <si>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</si>
  <si>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</si>
  <si>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</si>
  <si>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</si>
  <si>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</si>
  <si>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</si>
  <si>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</si>
  <si>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</si>
  <si>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</si>
  <si>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</si>
  <si>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</si>
  <si>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</si>
  <si>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</si>
  <si>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</si>
  <si>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</si>
  <si>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</si>
  <si>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</si>
  <si>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</si>
  <si>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</si>
  <si>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</si>
  <si>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</si>
  <si>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</si>
  <si>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</si>
  <si>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</si>
  <si>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</si>
  <si>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</si>
  <si>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</si>
  <si>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</si>
  <si>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</si>
  <si>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</si>
  <si>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</si>
  <si>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</si>
  <si>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</si>
  <si>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</si>
  <si>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</si>
  <si>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</si>
  <si>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</si>
  <si>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</si>
  <si>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</si>
  <si>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</si>
  <si>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</si>
  <si>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</si>
  <si>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</si>
  <si>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</si>
  <si>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</si>
  <si>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</si>
  <si>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</si>
  <si>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</si>
  <si>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</si>
  <si>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</si>
  <si>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</si>
  <si>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</si>
  <si>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</si>
  <si>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</si>
  <si>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</si>
  <si>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</si>
  <si>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</si>
  <si>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</si>
  <si>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</si>
  <si>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</si>
  <si>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</si>
  <si>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</si>
  <si>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</si>
  <si>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</si>
  <si>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</si>
  <si>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</si>
  <si>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</si>
  <si>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</si>
  <si>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</si>
  <si>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</si>
  <si>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</si>
  <si>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</si>
  <si>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</si>
  <si>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</si>
  <si>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</si>
  <si>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</si>
  <si>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</si>
  <si>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</si>
  <si>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</si>
  <si>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</si>
  <si>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</si>
  <si>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</si>
  <si>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</si>
  <si>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</si>
  <si>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</si>
  <si>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</si>
  <si>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</si>
  <si>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</si>
  <si>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</si>
  <si>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</si>
  <si>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</si>
  <si>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</si>
  <si>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</si>
  <si>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</si>
  <si>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</si>
  <si>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</si>
  <si>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</si>
  <si>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</si>
  <si>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</si>
  <si>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</si>
  <si>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</si>
  <si>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</si>
  <si>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</si>
  <si>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</si>
  <si>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</si>
  <si>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</si>
  <si>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</si>
  <si>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</si>
  <si>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</si>
  <si>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</si>
  <si>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</si>
  <si>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</si>
  <si>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</si>
  <si>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</si>
  <si>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</si>
  <si>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</si>
  <si>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</si>
  <si>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</si>
  <si>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</si>
  <si>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</si>
  <si>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</si>
  <si>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</si>
  <si>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</si>
  <si>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</si>
  <si>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</si>
  <si>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</si>
  <si>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</si>
  <si>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</si>
  <si>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</si>
  <si>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</si>
  <si>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</si>
  <si>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</si>
  <si>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</si>
  <si>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</si>
  <si>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</si>
  <si>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</si>
  <si>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</si>
  <si>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</si>
  <si>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</si>
  <si>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</si>
  <si>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</si>
  <si>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</si>
  <si>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</si>
  <si>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</si>
  <si>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</si>
  <si>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</si>
  <si>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</si>
  <si>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</si>
  <si>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</si>
  <si>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</si>
  <si>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</si>
  <si>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</si>
  <si>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</si>
  <si>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</si>
  <si>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</si>
  <si>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</si>
  <si>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</si>
  <si>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</si>
  <si>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</si>
  <si>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</si>
  <si>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</si>
  <si>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</si>
  <si>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</si>
  <si>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</si>
  <si>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</si>
  <si>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</si>
  <si>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</si>
  <si>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</si>
  <si>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</si>
  <si>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</si>
  <si>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</si>
  <si>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</si>
  <si>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</si>
  <si>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</si>
  <si>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</si>
  <si>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</si>
  <si>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</si>
  <si>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</si>
  <si>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</si>
  <si>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</si>
  <si>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</si>
  <si>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</si>
  <si>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</si>
  <si>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</si>
  <si>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</si>
  <si>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</si>
  <si>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</si>
  <si>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</si>
  <si>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</si>
  <si>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</si>
  <si>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</si>
  <si>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</si>
  <si>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</si>
  <si>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</si>
  <si>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</si>
  <si>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</si>
  <si>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</si>
  <si>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</si>
  <si>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</si>
  <si>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</si>
  <si>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</si>
  <si>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</si>
  <si>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</si>
  <si>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</si>
  <si>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</si>
  <si>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</si>
  <si>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</si>
  <si>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</si>
  <si>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</si>
  <si>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</si>
  <si>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</si>
  <si>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</si>
  <si>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</si>
  <si>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</si>
  <si>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</si>
  <si>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</si>
  <si>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</si>
  <si>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</si>
  <si>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</si>
  <si>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</si>
  <si>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</si>
  <si>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</si>
  <si>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</si>
  <si>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</si>
  <si>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</si>
  <si>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</si>
  <si>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</si>
  <si>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</si>
  <si>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</si>
  <si>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</si>
  <si>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</si>
  <si>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</si>
  <si>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</si>
  <si>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</si>
  <si>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</si>
  <si>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</si>
  <si>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</si>
  <si>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</si>
  <si>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</si>
  <si>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</si>
  <si>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</si>
  <si>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</si>
  <si>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</si>
  <si>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</si>
  <si>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</si>
  <si>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</si>
  <si>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</si>
  <si>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</si>
  <si>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</si>
  <si>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</si>
  <si>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</si>
  <si>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</si>
  <si>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</si>
  <si>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</si>
  <si>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</si>
  <si>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</si>
  <si>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</si>
  <si>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</si>
  <si>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</si>
  <si>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</si>
  <si>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</si>
  <si>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</si>
  <si>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</si>
  <si>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</si>
  <si>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</si>
  <si>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</si>
  <si>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</si>
  <si>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</si>
  <si>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</si>
  <si>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</si>
  <si>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</si>
  <si>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</si>
  <si>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</si>
  <si>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</si>
  <si>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</si>
  <si>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</si>
  <si>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</si>
  <si>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</si>
  <si>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</si>
  <si>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</si>
  <si>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</si>
  <si>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</si>
  <si>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</si>
  <si>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</si>
  <si>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</si>
  <si>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</si>
  <si>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</si>
  <si>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</si>
  <si>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</si>
  <si>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</si>
  <si>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</si>
  <si>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</si>
  <si>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</si>
  <si>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</si>
  <si>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</si>
  <si>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</si>
  <si>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</si>
  <si>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</si>
  <si>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</si>
  <si>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</si>
  <si>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</si>
  <si>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</si>
  <si>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</si>
  <si>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</si>
  <si>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</si>
  <si>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</si>
  <si>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</si>
  <si>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</si>
  <si>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</si>
  <si>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</si>
  <si>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</si>
  <si>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</si>
  <si>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</si>
  <si>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</si>
  <si>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</si>
  <si>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</si>
  <si>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</si>
  <si>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</si>
  <si>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</si>
  <si>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</si>
  <si>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</si>
  <si>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</si>
  <si>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</si>
  <si>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</si>
  <si>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</si>
  <si>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</si>
  <si>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</si>
  <si>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</si>
  <si>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</si>
  <si>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</si>
  <si>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</si>
  <si>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</si>
  <si>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</si>
  <si>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</si>
  <si>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</si>
  <si>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</si>
  <si>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</si>
  <si>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</si>
  <si>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</si>
  <si>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</si>
  <si>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</si>
  <si>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</si>
  <si>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</si>
  <si>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</si>
  <si>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</si>
  <si>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</si>
  <si>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</si>
  <si>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</si>
  <si>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</si>
  <si>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</si>
  <si>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</si>
  <si>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</si>
  <si>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</si>
  <si>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</si>
  <si>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</si>
  <si>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</si>
  <si>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</si>
  <si>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</si>
  <si>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</si>
  <si>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</si>
  <si>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</si>
  <si>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</si>
  <si>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</si>
  <si>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</si>
  <si>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</si>
  <si>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</si>
  <si>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</si>
  <si>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</si>
  <si>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</si>
  <si>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</si>
  <si>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</si>
  <si>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</si>
  <si>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</si>
  <si>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</si>
  <si>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</si>
  <si>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</si>
  <si>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</si>
  <si>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</si>
  <si>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</si>
  <si>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</si>
  <si>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</si>
  <si>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</si>
  <si>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</si>
  <si>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</si>
  <si>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</si>
  <si>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</si>
  <si>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</si>
  <si>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</si>
  <si>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</si>
  <si>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</si>
  <si>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</si>
  <si>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</si>
  <si>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</si>
  <si>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</si>
  <si>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</si>
  <si>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</si>
  <si>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</si>
  <si>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</si>
  <si>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</si>
  <si>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</si>
  <si>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</si>
  <si>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</si>
  <si>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</si>
  <si>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</si>
  <si>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</si>
  <si>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</si>
  <si>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</si>
  <si>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</si>
  <si>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</si>
  <si>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</si>
  <si>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</si>
  <si>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</si>
  <si>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</si>
  <si>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</si>
  <si>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</si>
  <si>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</si>
  <si>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</si>
  <si>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</si>
  <si>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</si>
  <si>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</si>
  <si>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</si>
  <si>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</si>
  <si>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</si>
  <si>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</si>
  <si>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</si>
  <si>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</si>
  <si>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</si>
  <si>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</si>
  <si>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</si>
  <si>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</si>
  <si>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</si>
  <si>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</si>
  <si>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</si>
  <si>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</si>
  <si>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</si>
  <si>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</si>
  <si>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</si>
  <si>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</si>
  <si>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</si>
  <si>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</si>
  <si>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</si>
  <si>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</si>
  <si>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</si>
  <si>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</si>
  <si>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</si>
  <si>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</si>
  <si>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</si>
  <si>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</si>
  <si>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</si>
  <si>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</si>
  <si>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</si>
  <si>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</si>
  <si>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</si>
  <si>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</si>
  <si>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</si>
  <si>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</si>
  <si>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</si>
  <si>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</si>
  <si>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</si>
  <si>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</si>
  <si>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</si>
  <si>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</si>
  <si>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</si>
  <si>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</si>
  <si>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</si>
  <si>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</si>
  <si>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</si>
  <si>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</si>
  <si>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</si>
  <si>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</si>
  <si>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</si>
  <si>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</si>
  <si>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</si>
  <si>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</si>
  <si>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</si>
  <si>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</si>
  <si>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</si>
  <si>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</si>
  <si>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</si>
  <si>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</si>
  <si>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</si>
  <si>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</si>
  <si>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</si>
  <si>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</si>
  <si>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</si>
  <si>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</si>
  <si>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</si>
  <si>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</si>
  <si>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</si>
  <si>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</si>
  <si>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</si>
  <si>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</si>
  <si>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</si>
  <si>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</si>
  <si>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</si>
  <si>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</si>
  <si>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</si>
  <si>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</si>
  <si>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</si>
  <si>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</si>
  <si>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</si>
  <si>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</si>
  <si>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</si>
  <si>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</si>
  <si>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</si>
  <si>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</si>
  <si>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</si>
  <si>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</si>
  <si>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</si>
  <si>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</si>
  <si>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</si>
  <si>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</si>
  <si>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</si>
  <si>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</si>
  <si>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</si>
  <si>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</si>
  <si>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</si>
  <si>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</si>
  <si>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</si>
  <si>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</si>
  <si>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</si>
  <si>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</si>
  <si>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</si>
  <si>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</si>
  <si>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</si>
  <si>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</si>
  <si>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</si>
  <si>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</si>
  <si>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</si>
  <si>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</si>
  <si>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</si>
  <si>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</si>
  <si>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</si>
  <si>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</si>
  <si>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</si>
  <si>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</si>
  <si>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</si>
  <si>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</si>
  <si>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</si>
  <si>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</si>
  <si>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</si>
  <si>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</si>
  <si>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</si>
  <si>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</si>
  <si>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</si>
  <si>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</si>
  <si>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</si>
  <si>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</si>
  <si>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</si>
  <si>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</si>
  <si>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</si>
  <si>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</si>
  <si>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</si>
  <si>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</si>
  <si>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</si>
  <si>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</si>
  <si>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</si>
  <si>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</si>
  <si>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</si>
  <si>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</si>
  <si>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</si>
  <si>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</si>
  <si>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</si>
  <si>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</si>
  <si>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</si>
  <si>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</si>
  <si>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</si>
  <si>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</si>
  <si>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</si>
  <si>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</si>
  <si>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</si>
  <si>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</si>
  <si>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</si>
  <si>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</si>
  <si>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</si>
  <si>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</si>
  <si>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</si>
  <si>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</si>
  <si>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</si>
  <si>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</si>
  <si>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</si>
  <si>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</si>
  <si>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</si>
  <si>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</si>
  <si>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</si>
  <si>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</si>
  <si>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</si>
  <si>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</si>
  <si>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</si>
  <si>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</si>
  <si>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</si>
  <si>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</si>
  <si>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</si>
  <si>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</si>
  <si>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</si>
  <si>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</si>
  <si>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</si>
  <si>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</si>
  <si>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</si>
  <si>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</si>
  <si>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</si>
  <si>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</si>
  <si>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</si>
  <si>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</si>
  <si>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</si>
  <si>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</si>
  <si>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</si>
  <si>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</si>
  <si>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</si>
  <si>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</si>
  <si>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</si>
  <si>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</si>
  <si>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</si>
  <si>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</si>
  <si>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</si>
  <si>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</si>
  <si>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</si>
  <si>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</si>
  <si>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</si>
  <si>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</si>
  <si>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</si>
  <si>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</si>
  <si>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</si>
  <si>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</si>
  <si>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</si>
  <si>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</si>
  <si>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</si>
  <si>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</si>
  <si>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</si>
  <si>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</si>
  <si>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</si>
  <si>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</si>
  <si>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</si>
  <si>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</si>
  <si>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</si>
  <si>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</si>
  <si>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</si>
  <si>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</si>
  <si>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</si>
  <si>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</si>
  <si>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</si>
  <si>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</si>
  <si>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</si>
  <si>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</si>
  <si>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</si>
  <si>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</si>
  <si>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</si>
  <si>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</si>
  <si>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</si>
  <si>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</si>
  <si>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</si>
  <si>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</si>
  <si>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</si>
  <si>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</si>
  <si>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</si>
  <si>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</si>
  <si>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</si>
  <si>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</si>
  <si>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</si>
  <si>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</si>
  <si>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</si>
  <si>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</si>
  <si>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</si>
  <si>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</si>
  <si>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</si>
  <si>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</si>
  <si>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</si>
  <si>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</si>
  <si>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</si>
  <si>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</si>
  <si>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</si>
  <si>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</si>
  <si>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</si>
  <si>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</si>
  <si>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</si>
  <si>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</si>
  <si>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</si>
  <si>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</si>
  <si>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</si>
  <si>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</si>
  <si>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</si>
  <si>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</si>
  <si>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</si>
  <si>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</si>
  <si>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</si>
  <si>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</si>
  <si>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</si>
  <si>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</si>
  <si>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</si>
  <si>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</si>
  <si>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</si>
  <si>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</si>
  <si>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</si>
  <si>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</si>
  <si>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</si>
  <si>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</si>
  <si>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</si>
  <si>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</si>
  <si>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</si>
  <si>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</si>
  <si>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</si>
  <si>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</si>
  <si>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</si>
  <si>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</si>
  <si>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</si>
  <si>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</si>
  <si>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</si>
  <si>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</si>
  <si>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</si>
  <si>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</si>
  <si>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</si>
  <si>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</si>
  <si>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</si>
  <si>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</si>
  <si>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</si>
  <si>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</si>
  <si>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</si>
  <si>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</si>
  <si>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</si>
  <si>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</si>
  <si>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</si>
  <si>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</si>
  <si>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</si>
  <si>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</si>
  <si>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</si>
  <si>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</si>
  <si>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</si>
  <si>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</si>
  <si>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</si>
  <si>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</si>
  <si>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</si>
  <si>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</si>
  <si>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</si>
  <si>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</si>
  <si>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</si>
  <si>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</si>
  <si>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</si>
  <si>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</si>
  <si>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</si>
  <si>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</si>
  <si>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</si>
  <si>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</si>
  <si>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</si>
  <si>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</si>
  <si>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</si>
  <si>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</si>
  <si>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</si>
  <si>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</si>
  <si>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</si>
  <si>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</si>
  <si>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</si>
  <si>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</si>
  <si>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</si>
  <si>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</si>
  <si>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</si>
  <si>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</si>
  <si>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</si>
  <si>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</si>
  <si>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</si>
  <si>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</si>
  <si>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</si>
  <si>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</si>
  <si>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</si>
  <si>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</si>
  <si>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</si>
  <si>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</si>
  <si>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</si>
  <si>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</si>
  <si>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</si>
  <si>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</si>
  <si>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</si>
  <si>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</si>
  <si>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</si>
  <si>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</si>
  <si>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</si>
  <si>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</si>
  <si>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</si>
  <si>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</si>
  <si>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</si>
  <si>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</si>
  <si>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</si>
  <si>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</si>
  <si>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</si>
  <si>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</si>
  <si>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</si>
  <si>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</si>
  <si>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</si>
  <si>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</si>
  <si>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</si>
  <si>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</si>
  <si>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</si>
  <si>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</si>
  <si>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</si>
  <si>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</si>
  <si>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</si>
  <si>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</si>
  <si>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</si>
  <si>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</si>
  <si>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</si>
  <si>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</si>
  <si>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</si>
  <si>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</si>
  <si>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</si>
  <si>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</si>
  <si>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</si>
  <si>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</si>
  <si>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</si>
  <si>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</si>
  <si>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</si>
  <si>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</si>
  <si>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</si>
  <si>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</si>
  <si>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</si>
  <si>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</si>
  <si>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</si>
  <si>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</si>
  <si>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</si>
  <si>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</si>
  <si>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</si>
  <si>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</si>
  <si>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</si>
  <si>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</si>
  <si>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</si>
  <si>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</si>
  <si>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</si>
  <si>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</si>
  <si>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</si>
  <si>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</si>
  <si>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</si>
  <si>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</si>
  <si>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</si>
  <si>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</si>
  <si>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</si>
  <si>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</si>
  <si>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</si>
  <si>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</si>
  <si>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</si>
  <si>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</si>
  <si>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</si>
  <si>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</si>
  <si>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</si>
  <si>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</si>
  <si>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</si>
  <si>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</si>
  <si>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</si>
  <si>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</si>
  <si>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</si>
  <si>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</si>
  <si>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</si>
  <si>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</si>
  <si>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</si>
  <si>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</si>
  <si>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</si>
  <si>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</si>
  <si>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</si>
  <si>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</si>
  <si>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</si>
  <si>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</si>
  <si>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</si>
  <si>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</si>
  <si>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</si>
  <si>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</si>
  <si>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</si>
  <si>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</si>
  <si>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</si>
  <si>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</si>
  <si>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</si>
  <si>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</si>
  <si>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</si>
  <si>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</si>
  <si>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</si>
  <si>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</si>
  <si>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</si>
  <si>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</si>
  <si>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</si>
  <si>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</si>
  <si>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</si>
  <si>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</si>
  <si>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</si>
  <si>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</si>
  <si>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</si>
  <si>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</si>
  <si>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</si>
  <si>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</si>
  <si>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</si>
  <si>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</si>
  <si>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</si>
  <si>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</si>
  <si>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</si>
  <si>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</si>
  <si>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</si>
  <si>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</si>
  <si>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</si>
  <si>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</si>
  <si>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</si>
  <si>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</si>
  <si>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</si>
  <si>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</si>
  <si>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</si>
  <si>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</si>
  <si>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</si>
  <si>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</si>
  <si>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</si>
  <si>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</si>
  <si>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</si>
  <si>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</si>
  <si>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</si>
  <si>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</si>
  <si>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</si>
  <si>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</si>
  <si>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</si>
  <si>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</si>
  <si>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</si>
  <si>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</si>
  <si>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</si>
  <si>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</si>
  <si>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</si>
  <si>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</si>
  <si>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</si>
  <si>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</si>
  <si>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</si>
  <si>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</si>
  <si>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</si>
  <si>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</si>
  <si>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</si>
  <si>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</si>
  <si>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</si>
  <si>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</si>
  <si>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</si>
  <si>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</si>
  <si>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</si>
  <si>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</si>
  <si>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</si>
  <si>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</si>
  <si>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</si>
  <si>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</si>
  <si>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</si>
  <si>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</si>
  <si>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</si>
  <si>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</si>
  <si>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</si>
  <si>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</si>
  <si>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</si>
  <si>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</si>
  <si>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</si>
  <si>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</si>
  <si>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</si>
  <si>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</si>
  <si>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</si>
  <si>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</si>
  <si>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</si>
  <si>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</si>
  <si>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</si>
  <si>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</si>
  <si>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</si>
  <si>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</si>
  <si>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</si>
  <si>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</si>
  <si>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</si>
  <si>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</si>
  <si>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</si>
  <si>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</si>
  <si>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</si>
  <si>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</si>
  <si>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</si>
  <si>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</si>
  <si>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</si>
  <si>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</si>
  <si>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</si>
  <si>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</si>
  <si>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</si>
  <si>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</si>
  <si>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</si>
  <si>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</si>
  <si>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</si>
  <si>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</si>
  <si>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</si>
  <si>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</si>
  <si>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</si>
  <si>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</si>
  <si>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</si>
  <si>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</si>
  <si>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</si>
  <si>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</si>
  <si>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</si>
  <si>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</si>
  <si>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</si>
  <si>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</si>
  <si>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</si>
  <si>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</si>
  <si>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</si>
  <si>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</si>
  <si>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</si>
  <si>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</si>
  <si>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</si>
  <si>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</si>
  <si>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</si>
  <si>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</si>
  <si>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</si>
  <si>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</si>
  <si>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</si>
  <si>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</si>
  <si>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</si>
  <si>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</si>
  <si>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</si>
  <si>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</si>
  <si>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</si>
  <si>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</si>
  <si>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</si>
  <si>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</si>
  <si>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</si>
  <si>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</si>
  <si>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</si>
  <si>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</si>
  <si>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</si>
  <si>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</si>
  <si>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</si>
  <si>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</si>
  <si>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</si>
  <si>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</si>
  <si>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</si>
  <si>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</si>
  <si>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</si>
  <si>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</si>
  <si>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</si>
  <si>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</si>
  <si>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</si>
  <si>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</si>
  <si>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</si>
  <si>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</si>
  <si>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</si>
  <si>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</si>
  <si>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</si>
  <si>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</si>
  <si>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</si>
  <si>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</si>
  <si>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</si>
  <si>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</si>
  <si>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</si>
  <si>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</si>
  <si>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</si>
  <si>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</si>
  <si>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</si>
  <si>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</si>
  <si>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</si>
  <si>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</si>
  <si>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</si>
  <si>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</si>
  <si>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</si>
  <si>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</si>
  <si>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</si>
  <si>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</si>
  <si>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</si>
  <si>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</si>
  <si>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</si>
  <si>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</si>
  <si>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</si>
  <si>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</si>
  <si>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</si>
  <si>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</si>
  <si>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</si>
  <si>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</si>
  <si>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</si>
  <si>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</si>
  <si>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</si>
  <si>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</si>
  <si>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</si>
  <si>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</si>
  <si>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</si>
  <si>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</si>
  <si>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</si>
  <si>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</si>
  <si>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</si>
  <si>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</si>
  <si>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</si>
  <si>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</si>
  <si>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</si>
  <si>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</si>
  <si>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</si>
  <si>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</si>
  <si>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</si>
  <si>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</si>
  <si>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</si>
  <si>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</si>
  <si>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</si>
  <si>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</si>
  <si>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</si>
  <si>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</si>
  <si>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</si>
  <si>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</si>
  <si>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</si>
  <si>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</si>
  <si>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</si>
  <si>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</si>
  <si>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</si>
  <si>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</si>
  <si>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</si>
  <si>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</si>
  <si>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</si>
  <si>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</si>
  <si>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</si>
  <si>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</si>
  <si>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</si>
  <si>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</si>
  <si>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</si>
  <si>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</si>
  <si>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</si>
  <si>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</si>
  <si>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</si>
  <si>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</si>
  <si>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</si>
  <si>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</si>
  <si>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</si>
  <si>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</si>
  <si>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</si>
  <si>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</si>
  <si>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</si>
  <si>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</si>
  <si>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</si>
  <si>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</si>
  <si>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</si>
  <si>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</si>
  <si>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</si>
  <si>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</si>
  <si>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</si>
  <si>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</si>
  <si>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</si>
  <si>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</si>
  <si>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</si>
  <si>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</si>
  <si>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</si>
  <si>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</si>
  <si>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</si>
  <si>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</si>
  <si>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</si>
  <si>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</si>
  <si>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</si>
  <si>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</si>
  <si>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</si>
  <si>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</si>
  <si>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</si>
  <si>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</si>
  <si>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</si>
  <si>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</si>
  <si>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</si>
  <si>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</si>
  <si>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</si>
  <si>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</si>
  <si>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</si>
  <si>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</si>
  <si>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</si>
  <si>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</si>
  <si>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</si>
  <si>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</si>
  <si>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</si>
  <si>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</si>
  <si>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</si>
  <si>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</si>
  <si>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</si>
  <si>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</si>
  <si>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</si>
  <si>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</si>
  <si>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</si>
  <si>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</si>
  <si>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</si>
  <si>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</si>
  <si>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</si>
  <si>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</si>
  <si>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</si>
  <si>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</si>
  <si>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</si>
  <si>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</si>
  <si>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</si>
  <si>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</si>
  <si>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</si>
  <si>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</si>
  <si>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</si>
  <si>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</si>
  <si>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</si>
  <si>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</si>
  <si>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</si>
  <si>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</si>
  <si>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</si>
  <si>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</si>
  <si>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</si>
  <si>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</si>
  <si>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</si>
  <si>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</si>
  <si>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</si>
  <si>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</si>
  <si>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</si>
  <si>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</si>
  <si>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</si>
  <si>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</si>
  <si>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</si>
  <si>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</si>
  <si>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</si>
  <si>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</si>
  <si>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</si>
  <si>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</si>
  <si>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</si>
  <si>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</si>
  <si>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</si>
  <si>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</si>
  <si>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</si>
  <si>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</si>
  <si>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</si>
  <si>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</si>
  <si>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</si>
  <si>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</si>
  <si>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</si>
  <si>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</si>
  <si>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</si>
  <si>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</si>
  <si>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</si>
  <si>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</si>
  <si>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</si>
  <si>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</si>
  <si>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</si>
  <si>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</si>
  <si>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</si>
  <si>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</si>
  <si>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</si>
  <si>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</si>
  <si>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</si>
  <si>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</si>
  <si>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</si>
  <si>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</si>
  <si>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</si>
  <si>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</si>
  <si>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</si>
  <si>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</si>
  <si>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</si>
  <si>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</si>
  <si>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</si>
  <si>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</si>
  <si>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</si>
  <si>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</si>
  <si>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</si>
  <si>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</si>
  <si>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</si>
  <si>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</si>
  <si>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</si>
  <si>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</si>
  <si>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</si>
  <si>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</si>
  <si>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</si>
  <si>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</si>
  <si>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</si>
  <si>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</si>
  <si>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</si>
  <si>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</si>
  <si>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</si>
  <si>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</si>
  <si>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</si>
  <si>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</si>
  <si>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</si>
  <si>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</si>
  <si>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</si>
  <si>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</si>
  <si>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</si>
  <si>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</si>
  <si>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</si>
  <si>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</si>
  <si>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</si>
  <si>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</si>
  <si>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</si>
  <si>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</si>
  <si>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</si>
  <si>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</si>
  <si>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</si>
  <si>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</si>
  <si>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</si>
  <si>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</si>
  <si>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</si>
  <si>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</si>
  <si>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</si>
  <si>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</si>
  <si>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</si>
  <si>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</si>
  <si>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</si>
  <si>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</si>
  <si>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</si>
  <si>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</si>
  <si>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</si>
  <si>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</si>
  <si>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</si>
  <si>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</si>
  <si>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</si>
  <si>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</si>
  <si>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</si>
  <si>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</si>
  <si>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</si>
  <si>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</si>
  <si>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</si>
  <si>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</si>
  <si>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</si>
  <si>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</si>
  <si>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</si>
  <si>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</si>
  <si>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</si>
  <si>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</si>
  <si>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</si>
  <si>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</si>
  <si>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</si>
  <si>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</si>
  <si>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</si>
  <si>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</si>
  <si>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</si>
  <si>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</si>
  <si>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</si>
  <si>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</si>
  <si>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</si>
  <si>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</si>
  <si>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</si>
  <si>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</si>
  <si>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</si>
  <si>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</si>
  <si>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</si>
  <si>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</si>
  <si>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</si>
  <si>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</si>
  <si>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</si>
  <si>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</si>
  <si>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</si>
  <si>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</si>
  <si>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</si>
  <si>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</si>
  <si>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</si>
  <si>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Count of TX ID</t>
  </si>
  <si>
    <t>Sum of Quantity</t>
  </si>
  <si>
    <t>Sum of Amount</t>
  </si>
  <si>
    <t>Average of Rating C</t>
  </si>
  <si>
    <t>Average of Days to Deliver</t>
  </si>
  <si>
    <t>Values For Display</t>
  </si>
  <si>
    <t>Qty</t>
  </si>
  <si>
    <t>Avg. Days</t>
  </si>
  <si>
    <t>Unknown</t>
  </si>
  <si>
    <t>Male</t>
  </si>
  <si>
    <t>Female</t>
  </si>
  <si>
    <t>Other</t>
  </si>
  <si>
    <t>Row Labels</t>
  </si>
  <si>
    <t>Grand Total</t>
  </si>
  <si>
    <t>Column Labels</t>
  </si>
  <si>
    <t>For Matrix</t>
  </si>
  <si>
    <t>6 to 10</t>
  </si>
  <si>
    <t>More than 10</t>
  </si>
  <si>
    <t>Map Chart Stuff(Qty)</t>
  </si>
  <si>
    <t>Map Chart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</si>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</sst>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rgb="FFFFFF00"/>
        <bgColor indexed="64"/>
      </patternFill>
    </fill>
  </fills>
  <borders count="3">
    <border>
      <left/>
      <right/>
      <top/>
      <bottom/>
      <diagonal/>
    </border>
    <border>
      <left style="thick">
        <color theme="0"/>
      </left>
      <right style="thick">
        <color theme="0"/>
      </right>
      <top style="thick">
        <color theme="0"/>
      </top>
      <bottom style="thick">
        <color theme="0"/>
      </bottom>
      <diagonal/>
    </border>
    <border>
      <left/>
      <right/>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applyAlignment="1">
      <alignment horizontal="center" vertical="center"/>
    </xf>
    <xf numFmtId="165" fontId="0" fillId="0" borderId="1" xfId="0" applyNumberFormat="1" applyBorder="1" applyAlignment="1">
      <alignment horizontal="center" vertical="center"/>
    </xf>
    <xf numFmtId="0" fontId="1" fillId="0" borderId="0" xfId="0" applyFont="1"/>
    <xf numFmtId="0" fontId="1" fillId="0" borderId="2" xfId="0" applyFont="1" applyBorder="1"/>
    <xf numFmtId="0" fontId="0" fillId="8" borderId="0" xfId="0" applyFill="1"/>
    <xf numFmtId="0" fontId="1" fillId="8" borderId="0" xfId="0" applyFont="1" applyFill="1"/>
  </cellXfs>
  <cellStyles count="2">
    <cellStyle name="Hyperlink" xfId="1" builtinId="8"/>
    <cellStyle name="Normal" xfId="0" builtinId="0"/>
  </cellStyles>
  <dxfs count="6">
    <dxf>
      <numFmt numFmtId="0" formatCode="General"/>
    </dxf>
    <dxf>
      <numFmt numFmtId="0" formatCode="General"/>
    </dxf>
    <dxf>
      <numFmt numFmtId="0" formatCode="General"/>
    </dxf>
    <dxf>
      <numFmt numFmtId="166" formatCode="d\-mmm\-yy"/>
    </dxf>
    <dxf>
      <numFmt numFmtId="166" formatCode="d\-mmm\-yy"/>
    </dxf>
    <dxf>
      <numFmt numFmtId="164" formatCode="[$$-C09]#,##0"/>
    </dxf>
  </dxfs>
  <tableStyles count="0" defaultTableStyle="TableStyleMedium2" defaultPivotStyle="PivotStyleLight16"/>
  <colors>
    <mruColors>
      <color rgb="FFC2E49C"/>
      <color rgb="FFFFE89F"/>
      <color rgb="FFC9F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[ecommerce-blank.xlsx]Pivots!pvtTrends</c:name>
    <c:fmtId val="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General</c:formatCode>
                <c:ptCount val="13"/>
                <c:pt idx="0">
                  <c:v>121</c:v>
                </c:pt>
                <c:pt idx="1">
                  <c:v>34</c:v>
                </c:pt>
                <c:pt idx="2">
                  <c:v>37</c:v>
                </c:pt>
                <c:pt idx="3">
                  <c:v>189</c:v>
                </c:pt>
                <c:pt idx="4">
                  <c:v>126</c:v>
                </c:pt>
                <c:pt idx="5">
                  <c:v>175</c:v>
                </c:pt>
                <c:pt idx="6">
                  <c:v>82</c:v>
                </c:pt>
                <c:pt idx="7">
                  <c:v>72</c:v>
                </c:pt>
                <c:pt idx="8">
                  <c:v>129</c:v>
                </c:pt>
                <c:pt idx="9">
                  <c:v>198</c:v>
                </c:pt>
                <c:pt idx="10">
                  <c:v>63</c:v>
                </c:pt>
                <c:pt idx="11">
                  <c:v>97</c:v>
                </c:pt>
                <c:pt idx="12">
                  <c:v>92</c:v>
                </c:pt>
              </c:numCache>
            </c:numRef>
          </c:val>
          <c:smooth val="0"/>
          <c:extLst>
            <c:ext xmlns:c16="http://schemas.microsoft.com/office/drawing/2014/chart" uri="{C3380CC4-5D6E-409C-BE32-E72D297353CC}">
              <c16:uniqueId val="{00000000-E099-4519-AC6F-CBBF7A275590}"/>
            </c:ext>
          </c:extLst>
        </c:ser>
        <c:ser>
          <c:idx val="1"/>
          <c:order val="1"/>
          <c:tx>
            <c:strRef>
              <c:f>Pivots!$C$8</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[$$-C09]#,##0</c:formatCode>
                <c:ptCount val="13"/>
                <c:pt idx="0">
                  <c:v>9481.5</c:v>
                </c:pt>
                <c:pt idx="1">
                  <c:v>1594.1000000000001</c:v>
                </c:pt>
                <c:pt idx="2">
                  <c:v>1449.3999999999999</c:v>
                </c:pt>
                <c:pt idx="3">
                  <c:v>7697</c:v>
                </c:pt>
                <c:pt idx="4">
                  <c:v>5755.5999999999995</c:v>
                </c:pt>
                <c:pt idx="5">
                  <c:v>8601.6999999999989</c:v>
                </c:pt>
                <c:pt idx="6">
                  <c:v>3824.5999999999995</c:v>
                </c:pt>
                <c:pt idx="7">
                  <c:v>3408.3999999999996</c:v>
                </c:pt>
                <c:pt idx="8">
                  <c:v>4730.7999999999984</c:v>
                </c:pt>
                <c:pt idx="9">
                  <c:v>12141.000000000002</c:v>
                </c:pt>
                <c:pt idx="10">
                  <c:v>4260.8999999999996</c:v>
                </c:pt>
                <c:pt idx="11">
                  <c:v>6819.5999999999995</c:v>
                </c:pt>
                <c:pt idx="12">
                  <c:v>3361.6</c:v>
                </c:pt>
              </c:numCache>
            </c:numRef>
          </c:val>
          <c:smooth val="0"/>
          <c:extLst>
            <c:ext xmlns:c16="http://schemas.microsoft.com/office/drawing/2014/chart" uri="{C3380CC4-5D6E-409C-BE32-E72D297353CC}">
              <c16:uniqueId val="{00000001-E099-4519-AC6F-CBBF7A275590}"/>
            </c:ext>
          </c:extLst>
        </c:ser>
        <c:dLbls>
          <c:showLegendKey val="0"/>
          <c:showVal val="0"/>
          <c:showCatName val="0"/>
          <c:showSerName val="0"/>
          <c:showPercent val="0"/>
          <c:showBubbleSize val="0"/>
        </c:dLbls>
        <c:marker val="1"/>
        <c:smooth val="0"/>
        <c:axId val="1932490127"/>
        <c:axId val="1932487727"/>
      </c:lineChart>
      <c:catAx>
        <c:axId val="193249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87727"/>
        <c:crosses val="autoZero"/>
        <c:auto val="1"/>
        <c:lblAlgn val="ctr"/>
        <c:lblOffset val="100"/>
        <c:noMultiLvlLbl val="0"/>
      </c:catAx>
      <c:valAx>
        <c:axId val="193248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9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[ecommerce-blank.xlsx]Pivots!pvtQty</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Pivots!$B$28</c:f>
              <c:strCache>
                <c:ptCount val="1"/>
                <c:pt idx="0">
                  <c:v>Total</c:v>
                </c:pt>
              </c:strCache>
            </c:strRef>
          </c:tx>
          <c:spPr>
            <a:solidFill>
              <a:schemeClr val="accent1"/>
            </a:solidFill>
            <a:ln>
              <a:noFill/>
            </a:ln>
            <a:effectLst/>
          </c:spPr>
          <c:invertIfNegative val="0"/>
          <c:cat>
            <c:strRef>
              <c:f>Pivots!$A$29:$A$36</c:f>
              <c:strCache>
                <c:ptCount val="7"/>
                <c:pt idx="0">
                  <c:v>1</c:v>
                </c:pt>
                <c:pt idx="1">
                  <c:v>2</c:v>
                </c:pt>
                <c:pt idx="2">
                  <c:v>3</c:v>
                </c:pt>
                <c:pt idx="3">
                  <c:v>4</c:v>
                </c:pt>
                <c:pt idx="4">
                  <c:v>5</c:v>
                </c:pt>
                <c:pt idx="5">
                  <c:v>6 to 10</c:v>
                </c:pt>
                <c:pt idx="6">
                  <c:v>More than 10</c:v>
                </c:pt>
              </c:strCache>
            </c:strRef>
          </c:cat>
          <c:val>
            <c:numRef>
              <c:f>Pivots!$B$29:$B$36</c:f>
              <c:numCache>
                <c:formatCode>General</c:formatCode>
                <c:ptCount val="7"/>
                <c:pt idx="0">
                  <c:v>36</c:v>
                </c:pt>
                <c:pt idx="1">
                  <c:v>60</c:v>
                </c:pt>
                <c:pt idx="2">
                  <c:v>36</c:v>
                </c:pt>
                <c:pt idx="3">
                  <c:v>23</c:v>
                </c:pt>
                <c:pt idx="4">
                  <c:v>19</c:v>
                </c:pt>
                <c:pt idx="5">
                  <c:v>47</c:v>
                </c:pt>
                <c:pt idx="6">
                  <c:v>27</c:v>
                </c:pt>
              </c:numCache>
            </c:numRef>
          </c:val>
          <c:extLst>
            <c:ext xmlns:c16="http://schemas.microsoft.com/office/drawing/2014/chart" uri="{C3380CC4-5D6E-409C-BE32-E72D297353CC}">
              <c16:uniqueId val="{00000000-1988-4FFB-A40A-2DD374AD4C5F}"/>
            </c:ext>
          </c:extLst>
        </c:ser>
        <c:dLbls>
          <c:showLegendKey val="0"/>
          <c:showVal val="0"/>
          <c:showCatName val="0"/>
          <c:showSerName val="0"/>
          <c:showPercent val="0"/>
          <c:showBubbleSize val="0"/>
        </c:dLbls>
        <c:gapWidth val="219"/>
        <c:overlap val="-27"/>
        <c:axId val="1932522767"/>
        <c:axId val="1932524207"/>
      </c:barChart>
      <c:catAx>
        <c:axId val="193252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24207"/>
        <c:crosses val="autoZero"/>
        <c:auto val="1"/>
        <c:lblAlgn val="ctr"/>
        <c:lblOffset val="100"/>
        <c:noMultiLvlLbl val="0"/>
      </c:catAx>
      <c:valAx>
        <c:axId val="193252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2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[ecommerce-blank.xlsx]Pivots!pvtProduct</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Pivots!$B$46:$B$47</c:f>
              <c:strCache>
                <c:ptCount val="1"/>
              </c:strCache>
            </c:strRef>
          </c:tx>
          <c:spPr>
            <a:solidFill>
              <a:schemeClr val="accent1"/>
            </a:solidFill>
            <a:ln>
              <a:noFill/>
            </a:ln>
            <a:effectLst/>
          </c:spPr>
          <c:invertIfNegative val="0"/>
          <c:cat>
            <c:strRef>
              <c:f>Pivots!$A$48:$A$68</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Pivots!$B$48:$B$68</c:f>
              <c:numCache>
                <c:formatCode>General</c:formatCode>
                <c:ptCount val="20"/>
                <c:pt idx="0">
                  <c:v>35</c:v>
                </c:pt>
                <c:pt idx="1">
                  <c:v>105</c:v>
                </c:pt>
                <c:pt idx="3">
                  <c:v>10</c:v>
                </c:pt>
                <c:pt idx="4">
                  <c:v>2</c:v>
                </c:pt>
                <c:pt idx="6">
                  <c:v>6</c:v>
                </c:pt>
                <c:pt idx="7">
                  <c:v>2</c:v>
                </c:pt>
                <c:pt idx="8">
                  <c:v>10</c:v>
                </c:pt>
                <c:pt idx="9">
                  <c:v>3</c:v>
                </c:pt>
                <c:pt idx="11">
                  <c:v>4</c:v>
                </c:pt>
                <c:pt idx="16">
                  <c:v>9</c:v>
                </c:pt>
              </c:numCache>
            </c:numRef>
          </c:val>
          <c:extLst>
            <c:ext xmlns:c16="http://schemas.microsoft.com/office/drawing/2014/chart" uri="{C3380CC4-5D6E-409C-BE32-E72D297353CC}">
              <c16:uniqueId val="{00000000-DBFC-44E6-8287-E83B39D073D6}"/>
            </c:ext>
          </c:extLst>
        </c:ser>
        <c:ser>
          <c:idx val="1"/>
          <c:order val="1"/>
          <c:tx>
            <c:strRef>
              <c:f>Pivots!$C$46:$C$47</c:f>
              <c:strCache>
                <c:ptCount val="1"/>
                <c:pt idx="0">
                  <c:v>F</c:v>
                </c:pt>
              </c:strCache>
            </c:strRef>
          </c:tx>
          <c:spPr>
            <a:solidFill>
              <a:schemeClr val="accent2"/>
            </a:solidFill>
            <a:ln>
              <a:noFill/>
            </a:ln>
            <a:effectLst/>
          </c:spPr>
          <c:invertIfNegative val="0"/>
          <c:cat>
            <c:strRef>
              <c:f>Pivots!$A$48:$A$68</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Pivots!$C$48:$C$68</c:f>
              <c:numCache>
                <c:formatCode>General</c:formatCode>
                <c:ptCount val="20"/>
                <c:pt idx="0">
                  <c:v>122</c:v>
                </c:pt>
                <c:pt idx="1">
                  <c:v>49</c:v>
                </c:pt>
                <c:pt idx="2">
                  <c:v>92</c:v>
                </c:pt>
                <c:pt idx="3">
                  <c:v>82</c:v>
                </c:pt>
                <c:pt idx="4">
                  <c:v>73</c:v>
                </c:pt>
                <c:pt idx="5">
                  <c:v>53</c:v>
                </c:pt>
                <c:pt idx="6">
                  <c:v>65</c:v>
                </c:pt>
                <c:pt idx="7">
                  <c:v>28</c:v>
                </c:pt>
                <c:pt idx="8">
                  <c:v>38</c:v>
                </c:pt>
                <c:pt idx="9">
                  <c:v>9</c:v>
                </c:pt>
                <c:pt idx="10">
                  <c:v>32</c:v>
                </c:pt>
                <c:pt idx="11">
                  <c:v>24</c:v>
                </c:pt>
                <c:pt idx="12">
                  <c:v>12</c:v>
                </c:pt>
                <c:pt idx="13">
                  <c:v>22</c:v>
                </c:pt>
                <c:pt idx="14">
                  <c:v>5</c:v>
                </c:pt>
                <c:pt idx="15">
                  <c:v>11</c:v>
                </c:pt>
                <c:pt idx="16">
                  <c:v>9</c:v>
                </c:pt>
                <c:pt idx="17">
                  <c:v>7</c:v>
                </c:pt>
              </c:numCache>
            </c:numRef>
          </c:val>
          <c:extLst>
            <c:ext xmlns:c16="http://schemas.microsoft.com/office/drawing/2014/chart" uri="{C3380CC4-5D6E-409C-BE32-E72D297353CC}">
              <c16:uniqueId val="{00000001-DBFC-44E6-8287-E83B39D073D6}"/>
            </c:ext>
          </c:extLst>
        </c:ser>
        <c:ser>
          <c:idx val="2"/>
          <c:order val="2"/>
          <c:tx>
            <c:strRef>
              <c:f>Pivots!$D$46:$D$47</c:f>
              <c:strCache>
                <c:ptCount val="1"/>
                <c:pt idx="0">
                  <c:v>M</c:v>
                </c:pt>
              </c:strCache>
            </c:strRef>
          </c:tx>
          <c:spPr>
            <a:solidFill>
              <a:schemeClr val="accent3"/>
            </a:solidFill>
            <a:ln>
              <a:noFill/>
            </a:ln>
            <a:effectLst/>
          </c:spPr>
          <c:invertIfNegative val="0"/>
          <c:cat>
            <c:strRef>
              <c:f>Pivots!$A$48:$A$68</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Pivots!$D$48:$D$68</c:f>
              <c:numCache>
                <c:formatCode>General</c:formatCode>
                <c:ptCount val="20"/>
                <c:pt idx="0">
                  <c:v>82</c:v>
                </c:pt>
                <c:pt idx="1">
                  <c:v>79</c:v>
                </c:pt>
                <c:pt idx="2">
                  <c:v>38</c:v>
                </c:pt>
                <c:pt idx="3">
                  <c:v>7</c:v>
                </c:pt>
                <c:pt idx="4">
                  <c:v>22</c:v>
                </c:pt>
                <c:pt idx="5">
                  <c:v>32</c:v>
                </c:pt>
                <c:pt idx="6">
                  <c:v>17</c:v>
                </c:pt>
                <c:pt idx="7">
                  <c:v>55</c:v>
                </c:pt>
                <c:pt idx="8">
                  <c:v>33</c:v>
                </c:pt>
                <c:pt idx="9">
                  <c:v>33</c:v>
                </c:pt>
                <c:pt idx="10">
                  <c:v>10</c:v>
                </c:pt>
                <c:pt idx="11">
                  <c:v>9</c:v>
                </c:pt>
                <c:pt idx="12">
                  <c:v>19</c:v>
                </c:pt>
                <c:pt idx="13">
                  <c:v>7</c:v>
                </c:pt>
                <c:pt idx="14">
                  <c:v>20</c:v>
                </c:pt>
                <c:pt idx="15">
                  <c:v>10</c:v>
                </c:pt>
                <c:pt idx="17">
                  <c:v>3</c:v>
                </c:pt>
                <c:pt idx="18">
                  <c:v>2</c:v>
                </c:pt>
                <c:pt idx="19">
                  <c:v>1</c:v>
                </c:pt>
              </c:numCache>
            </c:numRef>
          </c:val>
          <c:extLst>
            <c:ext xmlns:c16="http://schemas.microsoft.com/office/drawing/2014/chart" uri="{C3380CC4-5D6E-409C-BE32-E72D297353CC}">
              <c16:uniqueId val="{00000002-DBFC-44E6-8287-E83B39D073D6}"/>
            </c:ext>
          </c:extLst>
        </c:ser>
        <c:ser>
          <c:idx val="3"/>
          <c:order val="3"/>
          <c:tx>
            <c:strRef>
              <c:f>Pivots!$E$46:$E$47</c:f>
              <c:strCache>
                <c:ptCount val="1"/>
                <c:pt idx="0">
                  <c:v>O</c:v>
                </c:pt>
              </c:strCache>
            </c:strRef>
          </c:tx>
          <c:spPr>
            <a:solidFill>
              <a:schemeClr val="accent4"/>
            </a:solidFill>
            <a:ln>
              <a:noFill/>
            </a:ln>
            <a:effectLst/>
          </c:spPr>
          <c:invertIfNegative val="0"/>
          <c:cat>
            <c:strRef>
              <c:f>Pivots!$A$48:$A$68</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Pivots!$E$48:$E$68</c:f>
              <c:numCache>
                <c:formatCode>General</c:formatCode>
                <c:ptCount val="20"/>
                <c:pt idx="0">
                  <c:v>1</c:v>
                </c:pt>
                <c:pt idx="5">
                  <c:v>6</c:v>
                </c:pt>
                <c:pt idx="9">
                  <c:v>7</c:v>
                </c:pt>
                <c:pt idx="16">
                  <c:v>3</c:v>
                </c:pt>
              </c:numCache>
            </c:numRef>
          </c:val>
          <c:extLst>
            <c:ext xmlns:c16="http://schemas.microsoft.com/office/drawing/2014/chart" uri="{C3380CC4-5D6E-409C-BE32-E72D297353CC}">
              <c16:uniqueId val="{00000003-DBFC-44E6-8287-E83B39D073D6}"/>
            </c:ext>
          </c:extLst>
        </c:ser>
        <c:dLbls>
          <c:showLegendKey val="0"/>
          <c:showVal val="0"/>
          <c:showCatName val="0"/>
          <c:showSerName val="0"/>
          <c:showPercent val="0"/>
          <c:showBubbleSize val="0"/>
        </c:dLbls>
        <c:gapWidth val="150"/>
        <c:overlap val="100"/>
        <c:axId val="1707097119"/>
        <c:axId val="1707098079"/>
      </c:barChart>
      <c:catAx>
        <c:axId val="170709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8079"/>
        <c:crosses val="autoZero"/>
        <c:auto val="1"/>
        <c:lblAlgn val="ctr"/>
        <c:lblOffset val="100"/>
        <c:noMultiLvlLbl val="0"/>
      </c:catAx>
      <c:valAx>
        <c:axId val="170709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[ecommerce-blank.xlsx]Pivots!pvtGender</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Pivots!$Q$46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6D-4238-ADCB-E388D9BF3A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6D-4238-ADCB-E388D9BF3A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6D-4238-ADCB-E388D9BF3A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6D-4238-ADCB-E388D9BF3A2A}"/>
              </c:ext>
            </c:extLst>
          </c:dPt>
          <c:cat>
            <c:strRef>
              <c:f>Pivots!$P$47:$P$51</c:f>
              <c:strCache>
                <c:ptCount val="4"/>
                <c:pt idx="0">
                  <c:v>Female</c:v>
                </c:pt>
                <c:pt idx="1">
                  <c:v>Male</c:v>
                </c:pt>
                <c:pt idx="2">
                  <c:v>Other</c:v>
                </c:pt>
                <c:pt idx="3">
                  <c:v>Unknown</c:v>
                </c:pt>
              </c:strCache>
            </c:strRef>
          </c:cat>
          <c:val>
            <c:numRef>
              <c:f>Pivots!$Q$47:$Q$51</c:f>
              <c:numCache>
                <c:formatCode>General</c:formatCode>
                <c:ptCount val="4"/>
                <c:pt idx="0">
                  <c:v>733</c:v>
                </c:pt>
                <c:pt idx="1">
                  <c:v>479</c:v>
                </c:pt>
                <c:pt idx="2">
                  <c:v>17</c:v>
                </c:pt>
                <c:pt idx="3">
                  <c:v>186</c:v>
                </c:pt>
              </c:numCache>
            </c:numRef>
          </c:val>
          <c:extLst>
            <c:ext xmlns:c16="http://schemas.microsoft.com/office/drawing/2014/chart" uri="{C3380CC4-5D6E-409C-BE32-E72D297353CC}">
              <c16:uniqueId val="{00000000-74E8-4DBF-AAC9-CD8E6961BE5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[ecommerce-blank.xlsx]Sheet1!pvtDuration</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Sheet1!$A$4:$A$15</c:f>
              <c:strCache>
                <c:ptCount val="11"/>
                <c:pt idx="0">
                  <c:v>0</c:v>
                </c:pt>
                <c:pt idx="1">
                  <c:v>1</c:v>
                </c:pt>
                <c:pt idx="2">
                  <c:v>2</c:v>
                </c:pt>
                <c:pt idx="3">
                  <c:v>3</c:v>
                </c:pt>
                <c:pt idx="4">
                  <c:v>4</c:v>
                </c:pt>
                <c:pt idx="5">
                  <c:v>5</c:v>
                </c:pt>
                <c:pt idx="6">
                  <c:v>6</c:v>
                </c:pt>
                <c:pt idx="7">
                  <c:v>7</c:v>
                </c:pt>
                <c:pt idx="8">
                  <c:v>8</c:v>
                </c:pt>
                <c:pt idx="9">
                  <c:v>9</c:v>
                </c:pt>
                <c:pt idx="10">
                  <c:v>13</c:v>
                </c:pt>
              </c:strCache>
            </c:strRef>
          </c:cat>
          <c:val>
            <c:numRef>
              <c:f>Sheet1!$B$4:$B$15</c:f>
              <c:numCache>
                <c:formatCode>General</c:formatCode>
                <c:ptCount val="11"/>
                <c:pt idx="0">
                  <c:v>17</c:v>
                </c:pt>
                <c:pt idx="1">
                  <c:v>86</c:v>
                </c:pt>
                <c:pt idx="2">
                  <c:v>50</c:v>
                </c:pt>
                <c:pt idx="3">
                  <c:v>37</c:v>
                </c:pt>
                <c:pt idx="4">
                  <c:v>28</c:v>
                </c:pt>
                <c:pt idx="5">
                  <c:v>12</c:v>
                </c:pt>
                <c:pt idx="6">
                  <c:v>11</c:v>
                </c:pt>
                <c:pt idx="7">
                  <c:v>2</c:v>
                </c:pt>
                <c:pt idx="8">
                  <c:v>3</c:v>
                </c:pt>
                <c:pt idx="9">
                  <c:v>1</c:v>
                </c:pt>
                <c:pt idx="10">
                  <c:v>1</c:v>
                </c:pt>
              </c:numCache>
            </c:numRef>
          </c:val>
          <c:extLst>
            <c:ext xmlns:c16="http://schemas.microsoft.com/office/drawing/2014/chart" uri="{C3380CC4-5D6E-409C-BE32-E72D297353CC}">
              <c16:uniqueId val="{00000000-6552-458F-A210-655C8857D11B}"/>
            </c:ext>
          </c:extLst>
        </c:ser>
        <c:dLbls>
          <c:showLegendKey val="0"/>
          <c:showVal val="0"/>
          <c:showCatName val="0"/>
          <c:showSerName val="0"/>
          <c:showPercent val="0"/>
          <c:showBubbleSize val="0"/>
        </c:dLbls>
        <c:gapWidth val="219"/>
        <c:overlap val="-27"/>
        <c:axId val="577878480"/>
        <c:axId val="577878960"/>
      </c:barChart>
      <c:catAx>
        <c:axId val="57787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878960"/>
        <c:crosses val="autoZero"/>
        <c:auto val="1"/>
        <c:lblAlgn val="ctr"/>
        <c:lblOffset val="100"/>
        <c:noMultiLvlLbl val="0"/>
      </c:catAx>
      <c:valAx>
        <c:axId val="57787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87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[ecommerce-blank.xlsx]Sheet1!pvtRating</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Sheet1!$B$23:$B$24</c:f>
              <c:strCache>
                <c:ptCount val="1"/>
                <c:pt idx="0">
                  <c:v>1</c:v>
                </c:pt>
              </c:strCache>
            </c:strRef>
          </c:tx>
          <c:spPr>
            <a:solidFill>
              <a:schemeClr val="accent1"/>
            </a:solidFill>
            <a:ln>
              <a:noFill/>
            </a:ln>
            <a:effectLst/>
          </c:spPr>
          <c:invertIfNegative val="0"/>
          <c:cat>
            <c:strRef>
              <c:f>Sheet1!$A$25:$A$28</c:f>
              <c:strCache>
                <c:ptCount val="3"/>
                <c:pt idx="0">
                  <c:v>Jan</c:v>
                </c:pt>
                <c:pt idx="1">
                  <c:v>Feb</c:v>
                </c:pt>
                <c:pt idx="2">
                  <c:v>Mar</c:v>
                </c:pt>
              </c:strCache>
            </c:strRef>
          </c:cat>
          <c:val>
            <c:numRef>
              <c:f>Sheet1!$B$25:$B$28</c:f>
              <c:numCache>
                <c:formatCode>General</c:formatCode>
                <c:ptCount val="3"/>
                <c:pt idx="0">
                  <c:v>2</c:v>
                </c:pt>
                <c:pt idx="1">
                  <c:v>1</c:v>
                </c:pt>
                <c:pt idx="2">
                  <c:v>2</c:v>
                </c:pt>
              </c:numCache>
            </c:numRef>
          </c:val>
          <c:extLst>
            <c:ext xmlns:c16="http://schemas.microsoft.com/office/drawing/2014/chart" uri="{C3380CC4-5D6E-409C-BE32-E72D297353CC}">
              <c16:uniqueId val="{00000000-0657-41D9-8BA5-FABA440498C8}"/>
            </c:ext>
          </c:extLst>
        </c:ser>
        <c:ser>
          <c:idx val="1"/>
          <c:order val="1"/>
          <c:tx>
            <c:strRef>
              <c:f>Sheet1!$C$23:$C$24</c:f>
              <c:strCache>
                <c:ptCount val="1"/>
                <c:pt idx="0">
                  <c:v>2</c:v>
                </c:pt>
              </c:strCache>
            </c:strRef>
          </c:tx>
          <c:spPr>
            <a:solidFill>
              <a:schemeClr val="accent2"/>
            </a:solidFill>
            <a:ln>
              <a:noFill/>
            </a:ln>
            <a:effectLst/>
          </c:spPr>
          <c:invertIfNegative val="0"/>
          <c:cat>
            <c:strRef>
              <c:f>Sheet1!$A$25:$A$28</c:f>
              <c:strCache>
                <c:ptCount val="3"/>
                <c:pt idx="0">
                  <c:v>Jan</c:v>
                </c:pt>
                <c:pt idx="1">
                  <c:v>Feb</c:v>
                </c:pt>
                <c:pt idx="2">
                  <c:v>Mar</c:v>
                </c:pt>
              </c:strCache>
            </c:strRef>
          </c:cat>
          <c:val>
            <c:numRef>
              <c:f>Sheet1!$C$25:$C$28</c:f>
              <c:numCache>
                <c:formatCode>General</c:formatCode>
                <c:ptCount val="3"/>
                <c:pt idx="0">
                  <c:v>2</c:v>
                </c:pt>
                <c:pt idx="1">
                  <c:v>4</c:v>
                </c:pt>
                <c:pt idx="2">
                  <c:v>5</c:v>
                </c:pt>
              </c:numCache>
            </c:numRef>
          </c:val>
          <c:extLst>
            <c:ext xmlns:c16="http://schemas.microsoft.com/office/drawing/2014/chart" uri="{C3380CC4-5D6E-409C-BE32-E72D297353CC}">
              <c16:uniqueId val="{00000001-0657-41D9-8BA5-FABA440498C8}"/>
            </c:ext>
          </c:extLst>
        </c:ser>
        <c:ser>
          <c:idx val="2"/>
          <c:order val="2"/>
          <c:tx>
            <c:strRef>
              <c:f>Sheet1!$D$23:$D$24</c:f>
              <c:strCache>
                <c:ptCount val="1"/>
                <c:pt idx="0">
                  <c:v>3</c:v>
                </c:pt>
              </c:strCache>
            </c:strRef>
          </c:tx>
          <c:spPr>
            <a:solidFill>
              <a:schemeClr val="accent3"/>
            </a:solidFill>
            <a:ln>
              <a:noFill/>
            </a:ln>
            <a:effectLst/>
          </c:spPr>
          <c:invertIfNegative val="0"/>
          <c:cat>
            <c:strRef>
              <c:f>Sheet1!$A$25:$A$28</c:f>
              <c:strCache>
                <c:ptCount val="3"/>
                <c:pt idx="0">
                  <c:v>Jan</c:v>
                </c:pt>
                <c:pt idx="1">
                  <c:v>Feb</c:v>
                </c:pt>
                <c:pt idx="2">
                  <c:v>Mar</c:v>
                </c:pt>
              </c:strCache>
            </c:strRef>
          </c:cat>
          <c:val>
            <c:numRef>
              <c:f>Sheet1!$D$25:$D$28</c:f>
              <c:numCache>
                <c:formatCode>General</c:formatCode>
                <c:ptCount val="3"/>
                <c:pt idx="0">
                  <c:v>13</c:v>
                </c:pt>
                <c:pt idx="1">
                  <c:v>14</c:v>
                </c:pt>
                <c:pt idx="2">
                  <c:v>13</c:v>
                </c:pt>
              </c:numCache>
            </c:numRef>
          </c:val>
          <c:extLst>
            <c:ext xmlns:c16="http://schemas.microsoft.com/office/drawing/2014/chart" uri="{C3380CC4-5D6E-409C-BE32-E72D297353CC}">
              <c16:uniqueId val="{00000002-0657-41D9-8BA5-FABA440498C8}"/>
            </c:ext>
          </c:extLst>
        </c:ser>
        <c:ser>
          <c:idx val="3"/>
          <c:order val="3"/>
          <c:tx>
            <c:strRef>
              <c:f>Sheet1!$E$23:$E$24</c:f>
              <c:strCache>
                <c:ptCount val="1"/>
                <c:pt idx="0">
                  <c:v>4</c:v>
                </c:pt>
              </c:strCache>
            </c:strRef>
          </c:tx>
          <c:spPr>
            <a:solidFill>
              <a:schemeClr val="accent4"/>
            </a:solidFill>
            <a:ln>
              <a:noFill/>
            </a:ln>
            <a:effectLst/>
          </c:spPr>
          <c:invertIfNegative val="0"/>
          <c:cat>
            <c:strRef>
              <c:f>Sheet1!$A$25:$A$28</c:f>
              <c:strCache>
                <c:ptCount val="3"/>
                <c:pt idx="0">
                  <c:v>Jan</c:v>
                </c:pt>
                <c:pt idx="1">
                  <c:v>Feb</c:v>
                </c:pt>
                <c:pt idx="2">
                  <c:v>Mar</c:v>
                </c:pt>
              </c:strCache>
            </c:strRef>
          </c:cat>
          <c:val>
            <c:numRef>
              <c:f>Sheet1!$E$25:$E$28</c:f>
              <c:numCache>
                <c:formatCode>General</c:formatCode>
                <c:ptCount val="3"/>
                <c:pt idx="0">
                  <c:v>42</c:v>
                </c:pt>
                <c:pt idx="1">
                  <c:v>36</c:v>
                </c:pt>
                <c:pt idx="2">
                  <c:v>31</c:v>
                </c:pt>
              </c:numCache>
            </c:numRef>
          </c:val>
          <c:extLst>
            <c:ext xmlns:c16="http://schemas.microsoft.com/office/drawing/2014/chart" uri="{C3380CC4-5D6E-409C-BE32-E72D297353CC}">
              <c16:uniqueId val="{00000004-0657-41D9-8BA5-FABA440498C8}"/>
            </c:ext>
          </c:extLst>
        </c:ser>
        <c:ser>
          <c:idx val="4"/>
          <c:order val="4"/>
          <c:tx>
            <c:strRef>
              <c:f>Sheet1!$F$23:$F$24</c:f>
              <c:strCache>
                <c:ptCount val="1"/>
                <c:pt idx="0">
                  <c:v>5</c:v>
                </c:pt>
              </c:strCache>
            </c:strRef>
          </c:tx>
          <c:spPr>
            <a:solidFill>
              <a:schemeClr val="accent5"/>
            </a:solidFill>
            <a:ln>
              <a:noFill/>
            </a:ln>
            <a:effectLst/>
          </c:spPr>
          <c:invertIfNegative val="0"/>
          <c:cat>
            <c:strRef>
              <c:f>Sheet1!$A$25:$A$28</c:f>
              <c:strCache>
                <c:ptCount val="3"/>
                <c:pt idx="0">
                  <c:v>Jan</c:v>
                </c:pt>
                <c:pt idx="1">
                  <c:v>Feb</c:v>
                </c:pt>
                <c:pt idx="2">
                  <c:v>Mar</c:v>
                </c:pt>
              </c:strCache>
            </c:strRef>
          </c:cat>
          <c:val>
            <c:numRef>
              <c:f>Sheet1!$F$25:$F$28</c:f>
              <c:numCache>
                <c:formatCode>General</c:formatCode>
                <c:ptCount val="3"/>
                <c:pt idx="0">
                  <c:v>24</c:v>
                </c:pt>
                <c:pt idx="1">
                  <c:v>37</c:v>
                </c:pt>
                <c:pt idx="2">
                  <c:v>22</c:v>
                </c:pt>
              </c:numCache>
            </c:numRef>
          </c:val>
          <c:extLst>
            <c:ext xmlns:c16="http://schemas.microsoft.com/office/drawing/2014/chart" uri="{C3380CC4-5D6E-409C-BE32-E72D297353CC}">
              <c16:uniqueId val="{00000005-0657-41D9-8BA5-FABA440498C8}"/>
            </c:ext>
          </c:extLst>
        </c:ser>
        <c:dLbls>
          <c:showLegendKey val="0"/>
          <c:showVal val="0"/>
          <c:showCatName val="0"/>
          <c:showSerName val="0"/>
          <c:showPercent val="0"/>
          <c:showBubbleSize val="0"/>
        </c:dLbls>
        <c:gapWidth val="219"/>
        <c:overlap val="-27"/>
        <c:axId val="708623904"/>
        <c:axId val="708624384"/>
      </c:barChart>
      <c:catAx>
        <c:axId val="7086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24384"/>
        <c:crosses val="autoZero"/>
        <c:auto val="1"/>
        <c:lblAlgn val="ctr"/>
        <c:lblOffset val="100"/>
        <c:noMultiLvlLbl val="0"/>
      </c:catAx>
      <c:valAx>
        <c:axId val="70862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2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[ecommerce-blank.xlsx]Pivots!pvtTrends</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19947267527409E-2"/>
          <c:y val="3.3652222576007564E-2"/>
          <c:w val="0.73795499988976376"/>
          <c:h val="0.79096014125683856"/>
        </c:manualLayout>
      </c:layout>
      <c:lineChart>
        <c:grouping val="standard"/>
        <c:varyColors val="0"/>
        <c:ser>
          <c:idx val="0"/>
          <c:order val="0"/>
          <c:tx>
            <c:strRef>
              <c:f>Pivots!$B$8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General</c:formatCode>
                <c:ptCount val="13"/>
                <c:pt idx="0">
                  <c:v>121</c:v>
                </c:pt>
                <c:pt idx="1">
                  <c:v>34</c:v>
                </c:pt>
                <c:pt idx="2">
                  <c:v>37</c:v>
                </c:pt>
                <c:pt idx="3">
                  <c:v>189</c:v>
                </c:pt>
                <c:pt idx="4">
                  <c:v>126</c:v>
                </c:pt>
                <c:pt idx="5">
                  <c:v>175</c:v>
                </c:pt>
                <c:pt idx="6">
                  <c:v>82</c:v>
                </c:pt>
                <c:pt idx="7">
                  <c:v>72</c:v>
                </c:pt>
                <c:pt idx="8">
                  <c:v>129</c:v>
                </c:pt>
                <c:pt idx="9">
                  <c:v>198</c:v>
                </c:pt>
                <c:pt idx="10">
                  <c:v>63</c:v>
                </c:pt>
                <c:pt idx="11">
                  <c:v>97</c:v>
                </c:pt>
                <c:pt idx="12">
                  <c:v>92</c:v>
                </c:pt>
              </c:numCache>
            </c:numRef>
          </c:val>
          <c:smooth val="0"/>
          <c:extLst>
            <c:ext xmlns:c16="http://schemas.microsoft.com/office/drawing/2014/chart" uri="{C3380CC4-5D6E-409C-BE32-E72D297353CC}">
              <c16:uniqueId val="{00000000-9AA3-49E9-8B8F-D55D8DD82088}"/>
            </c:ext>
          </c:extLst>
        </c:ser>
        <c:dLbls>
          <c:showLegendKey val="0"/>
          <c:showVal val="0"/>
          <c:showCatName val="0"/>
          <c:showSerName val="0"/>
          <c:showPercent val="0"/>
          <c:showBubbleSize val="0"/>
        </c:dLbls>
        <c:marker val="1"/>
        <c:smooth val="0"/>
        <c:axId val="1932490127"/>
        <c:axId val="1932487727"/>
      </c:lineChart>
      <c:lineChart>
        <c:grouping val="standard"/>
        <c:varyColors val="0"/>
        <c:ser>
          <c:idx val="1"/>
          <c:order val="1"/>
          <c:tx>
            <c:strRef>
              <c:f>Pivots!$C$8</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[$$-C09]#,##0</c:formatCode>
                <c:ptCount val="13"/>
                <c:pt idx="0">
                  <c:v>9481.5</c:v>
                </c:pt>
                <c:pt idx="1">
                  <c:v>1594.1000000000001</c:v>
                </c:pt>
                <c:pt idx="2">
                  <c:v>1449.3999999999999</c:v>
                </c:pt>
                <c:pt idx="3">
                  <c:v>7697</c:v>
                </c:pt>
                <c:pt idx="4">
                  <c:v>5755.5999999999995</c:v>
                </c:pt>
                <c:pt idx="5">
                  <c:v>8601.6999999999989</c:v>
                </c:pt>
                <c:pt idx="6">
                  <c:v>3824.5999999999995</c:v>
                </c:pt>
                <c:pt idx="7">
                  <c:v>3408.3999999999996</c:v>
                </c:pt>
                <c:pt idx="8">
                  <c:v>4730.7999999999984</c:v>
                </c:pt>
                <c:pt idx="9">
                  <c:v>12141.000000000002</c:v>
                </c:pt>
                <c:pt idx="10">
                  <c:v>4260.8999999999996</c:v>
                </c:pt>
                <c:pt idx="11">
                  <c:v>6819.5999999999995</c:v>
                </c:pt>
                <c:pt idx="12">
                  <c:v>3361.6</c:v>
                </c:pt>
              </c:numCache>
            </c:numRef>
          </c:val>
          <c:smooth val="0"/>
          <c:extLst>
            <c:ext xmlns:c16="http://schemas.microsoft.com/office/drawing/2014/chart" uri="{C3380CC4-5D6E-409C-BE32-E72D297353CC}">
              <c16:uniqueId val="{00000001-9AA3-49E9-8B8F-D55D8DD82088}"/>
            </c:ext>
          </c:extLst>
        </c:ser>
        <c:dLbls>
          <c:showLegendKey val="0"/>
          <c:showVal val="0"/>
          <c:showCatName val="0"/>
          <c:showSerName val="0"/>
          <c:showPercent val="0"/>
          <c:showBubbleSize val="0"/>
        </c:dLbls>
        <c:marker val="1"/>
        <c:smooth val="0"/>
        <c:axId val="1932519407"/>
        <c:axId val="1932515087"/>
      </c:lineChart>
      <c:catAx>
        <c:axId val="193249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87727"/>
        <c:crosses val="autoZero"/>
        <c:auto val="1"/>
        <c:lblAlgn val="ctr"/>
        <c:lblOffset val="100"/>
        <c:noMultiLvlLbl val="0"/>
      </c:catAx>
      <c:valAx>
        <c:axId val="193248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90127"/>
        <c:crosses val="autoZero"/>
        <c:crossBetween val="between"/>
      </c:valAx>
      <c:valAx>
        <c:axId val="1932515087"/>
        <c:scaling>
          <c:orientation val="minMax"/>
        </c:scaling>
        <c:delete val="0"/>
        <c:axPos val="r"/>
        <c:numFmt formatCode="[$$-C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19407"/>
        <c:crosses val="max"/>
        <c:crossBetween val="between"/>
      </c:valAx>
      <c:catAx>
        <c:axId val="1932519407"/>
        <c:scaling>
          <c:orientation val="minMax"/>
        </c:scaling>
        <c:delete val="1"/>
        <c:axPos val="b"/>
        <c:numFmt formatCode="General" sourceLinked="1"/>
        <c:majorTickMark val="out"/>
        <c:minorTickMark val="none"/>
        <c:tickLblPos val="nextTo"/>
        <c:crossAx val="19325150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[ecommerce-blank.xlsx]Pivots!pvtQty</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Pivots!$A$29:$A$36</c:f>
              <c:strCache>
                <c:ptCount val="7"/>
                <c:pt idx="0">
                  <c:v>1</c:v>
                </c:pt>
                <c:pt idx="1">
                  <c:v>2</c:v>
                </c:pt>
                <c:pt idx="2">
                  <c:v>3</c:v>
                </c:pt>
                <c:pt idx="3">
                  <c:v>4</c:v>
                </c:pt>
                <c:pt idx="4">
                  <c:v>5</c:v>
                </c:pt>
                <c:pt idx="5">
                  <c:v>6 to 10</c:v>
                </c:pt>
                <c:pt idx="6">
                  <c:v>More than 10</c:v>
                </c:pt>
              </c:strCache>
            </c:strRef>
          </c:cat>
          <c:val>
            <c:numRef>
              <c:f>Pivots!$B$29:$B$36</c:f>
              <c:numCache>
                <c:formatCode>General</c:formatCode>
                <c:ptCount val="7"/>
                <c:pt idx="0">
                  <c:v>36</c:v>
                </c:pt>
                <c:pt idx="1">
                  <c:v>60</c:v>
                </c:pt>
                <c:pt idx="2">
                  <c:v>36</c:v>
                </c:pt>
                <c:pt idx="3">
                  <c:v>23</c:v>
                </c:pt>
                <c:pt idx="4">
                  <c:v>19</c:v>
                </c:pt>
                <c:pt idx="5">
                  <c:v>47</c:v>
                </c:pt>
                <c:pt idx="6">
                  <c:v>27</c:v>
                </c:pt>
              </c:numCache>
            </c:numRef>
          </c:val>
          <c:extLst>
            <c:ext xmlns:c16="http://schemas.microsoft.com/office/drawing/2014/chart" uri="{C3380CC4-5D6E-409C-BE32-E72D297353CC}">
              <c16:uniqueId val="{00000000-5131-4B5F-8652-5CE10E9CB768}"/>
            </c:ext>
          </c:extLst>
        </c:ser>
        <c:dLbls>
          <c:dLblPos val="outEnd"/>
          <c:showLegendKey val="0"/>
          <c:showVal val="1"/>
          <c:showCatName val="0"/>
          <c:showSerName val="0"/>
          <c:showPercent val="0"/>
          <c:showBubbleSize val="0"/>
        </c:dLbls>
        <c:gapWidth val="11"/>
        <c:overlap val="-27"/>
        <c:axId val="1932522767"/>
        <c:axId val="1932524207"/>
      </c:barChart>
      <c:catAx>
        <c:axId val="193252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24207"/>
        <c:crosses val="autoZero"/>
        <c:auto val="1"/>
        <c:lblAlgn val="ctr"/>
        <c:lblOffset val="100"/>
        <c:noMultiLvlLbl val="0"/>
      </c:catAx>
      <c:valAx>
        <c:axId val="193252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2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[ecommerce-blank.xlsx]Pivots!pvtGender</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3066659807527661"/>
              <c:y val="0.12061539630433883"/>
            </c:manualLayout>
          </c:layou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3999955905534968E-2"/>
              <c:y val="0.17230770900619832"/>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066659807527664"/>
              <c:y val="-0.18092309445650828"/>
            </c:manualLayout>
          </c:layou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704119610697499"/>
              <c:y val="0.30742356083048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16523232459094"/>
                  <c:h val="0.27624222082264055"/>
                </c:manualLayout>
              </c15:layout>
            </c:ext>
          </c:extLst>
        </c:dLbl>
      </c:pivotFmt>
      <c:pivotFmt>
        <c:idx val="12"/>
        <c:spPr>
          <a:solidFill>
            <a:schemeClr val="accent1"/>
          </a:solidFill>
          <a:ln w="19050">
            <a:solidFill>
              <a:schemeClr val="lt1"/>
            </a:solidFill>
          </a:ln>
          <a:effectLst/>
        </c:spPr>
        <c:dLbl>
          <c:idx val="0"/>
          <c:layout>
            <c:manualLayout>
              <c:x val="-6.5539946074376881E-2"/>
              <c:y val="0.12659601777040475"/>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2606"/>
                    <a:gd name="adj2" fmla="val 5666"/>
                  </a:avLst>
                </a:prstGeom>
                <a:noFill/>
                <a:ln>
                  <a:noFill/>
                </a:ln>
              </c15:spPr>
              <c15:layout>
                <c:manualLayout>
                  <c:w val="0.24812095757153049"/>
                  <c:h val="0.35544509652616807"/>
                </c:manualLayout>
              </c15:layout>
            </c:ext>
          </c:extLst>
        </c:dLbl>
      </c:pivotFmt>
      <c:pivotFmt>
        <c:idx val="13"/>
        <c:spPr>
          <a:solidFill>
            <a:schemeClr val="accent1"/>
          </a:solidFill>
          <a:ln w="19050">
            <a:solidFill>
              <a:schemeClr val="lt1"/>
            </a:solidFill>
          </a:ln>
          <a:effectLst/>
        </c:spPr>
        <c:dLbl>
          <c:idx val="0"/>
          <c:layout>
            <c:manualLayout>
              <c:x val="0.30203809617477528"/>
              <c:y val="-5.21277156149774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1447367052678358"/>
                  <c:h val="0.27624222082264055"/>
                </c:manualLayout>
              </c15:layout>
            </c:ext>
          </c:extLst>
        </c:dLbl>
      </c:pivotFmt>
      <c:pivotFmt>
        <c:idx val="14"/>
        <c:spPr>
          <a:solidFill>
            <a:schemeClr val="accent1"/>
          </a:solidFill>
          <a:ln w="19050">
            <a:solidFill>
              <a:schemeClr val="lt1"/>
            </a:solidFill>
          </a:ln>
          <a:effectLst/>
        </c:spPr>
        <c:dLbl>
          <c:idx val="0"/>
          <c:layout>
            <c:manualLayout>
              <c:x val="-0.24359260571411931"/>
              <c:y val="-6.47881265451394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663470278162755"/>
                  <c:h val="0.35544509652616807"/>
                </c:manualLayout>
              </c15:layout>
            </c:ext>
          </c:extLst>
        </c:dLbl>
      </c:pivotFmt>
    </c:pivotFmts>
    <c:plotArea>
      <c:layout/>
      <c:doughnutChart>
        <c:varyColors val="1"/>
        <c:ser>
          <c:idx val="0"/>
          <c:order val="0"/>
          <c:tx>
            <c:strRef>
              <c:f>Pivots!$Q$46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56-4721-AC1F-614C960365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56-4721-AC1F-614C960365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56-4721-AC1F-614C960365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56-4721-AC1F-614C96036599}"/>
              </c:ext>
            </c:extLst>
          </c:dPt>
          <c:dLbls>
            <c:dLbl>
              <c:idx val="0"/>
              <c:layout>
                <c:manualLayout>
                  <c:x val="0.10704119610697499"/>
                  <c:y val="0.3074235608304875"/>
                </c:manualLayout>
              </c:layout>
              <c:showLegendKey val="0"/>
              <c:showVal val="0"/>
              <c:showCatName val="1"/>
              <c:showSerName val="0"/>
              <c:showPercent val="1"/>
              <c:showBubbleSize val="0"/>
              <c:extLst>
                <c:ext xmlns:c15="http://schemas.microsoft.com/office/drawing/2012/chart" uri="{CE6537A1-D6FC-4f65-9D91-7224C49458BB}">
                  <c15:layout>
                    <c:manualLayout>
                      <c:w val="0.26816523232459094"/>
                      <c:h val="0.27624222082264055"/>
                    </c:manualLayout>
                  </c15:layout>
                </c:ext>
                <c:ext xmlns:c16="http://schemas.microsoft.com/office/drawing/2014/chart" uri="{C3380CC4-5D6E-409C-BE32-E72D297353CC}">
                  <c16:uniqueId val="{00000001-4056-4721-AC1F-614C96036599}"/>
                </c:ext>
              </c:extLst>
            </c:dLbl>
            <c:dLbl>
              <c:idx val="1"/>
              <c:layout>
                <c:manualLayout>
                  <c:x val="-6.5539946074376881E-2"/>
                  <c:y val="0.12659601777040475"/>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2606"/>
                        <a:gd name="adj2" fmla="val 5666"/>
                      </a:avLst>
                    </a:prstGeom>
                    <a:noFill/>
                    <a:ln>
                      <a:noFill/>
                    </a:ln>
                  </c15:spPr>
                  <c15:layout>
                    <c:manualLayout>
                      <c:w val="0.24812095757153049"/>
                      <c:h val="0.35544509652616807"/>
                    </c:manualLayout>
                  </c15:layout>
                </c:ext>
                <c:ext xmlns:c16="http://schemas.microsoft.com/office/drawing/2014/chart" uri="{C3380CC4-5D6E-409C-BE32-E72D297353CC}">
                  <c16:uniqueId val="{00000003-4056-4721-AC1F-614C96036599}"/>
                </c:ext>
              </c:extLst>
            </c:dLbl>
            <c:dLbl>
              <c:idx val="2"/>
              <c:layout>
                <c:manualLayout>
                  <c:x val="-0.24359260571411931"/>
                  <c:y val="-6.4788126545139463E-2"/>
                </c:manualLayout>
              </c:layout>
              <c:showLegendKey val="0"/>
              <c:showVal val="0"/>
              <c:showCatName val="1"/>
              <c:showSerName val="0"/>
              <c:showPercent val="1"/>
              <c:showBubbleSize val="0"/>
              <c:extLst>
                <c:ext xmlns:c15="http://schemas.microsoft.com/office/drawing/2012/chart" uri="{CE6537A1-D6FC-4f65-9D91-7224C49458BB}">
                  <c15:layout>
                    <c:manualLayout>
                      <c:w val="0.27663470278162755"/>
                      <c:h val="0.35544509652616807"/>
                    </c:manualLayout>
                  </c15:layout>
                </c:ext>
                <c:ext xmlns:c16="http://schemas.microsoft.com/office/drawing/2014/chart" uri="{C3380CC4-5D6E-409C-BE32-E72D297353CC}">
                  <c16:uniqueId val="{00000005-4056-4721-AC1F-614C96036599}"/>
                </c:ext>
              </c:extLst>
            </c:dLbl>
            <c:dLbl>
              <c:idx val="3"/>
              <c:layout>
                <c:manualLayout>
                  <c:x val="0.30203809617477528"/>
                  <c:y val="-5.2127715614977463E-2"/>
                </c:manualLayout>
              </c:layout>
              <c:showLegendKey val="0"/>
              <c:showVal val="0"/>
              <c:showCatName val="1"/>
              <c:showSerName val="0"/>
              <c:showPercent val="1"/>
              <c:showBubbleSize val="0"/>
              <c:extLst>
                <c:ext xmlns:c15="http://schemas.microsoft.com/office/drawing/2012/chart" uri="{CE6537A1-D6FC-4f65-9D91-7224C49458BB}">
                  <c15:layout>
                    <c:manualLayout>
                      <c:w val="0.41447367052678358"/>
                      <c:h val="0.27624222082264055"/>
                    </c:manualLayout>
                  </c15:layout>
                </c:ext>
                <c:ext xmlns:c16="http://schemas.microsoft.com/office/drawing/2014/chart" uri="{C3380CC4-5D6E-409C-BE32-E72D297353CC}">
                  <c16:uniqueId val="{00000007-4056-4721-AC1F-614C9603659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Pivots!$P$47:$P$51</c:f>
              <c:strCache>
                <c:ptCount val="4"/>
                <c:pt idx="0">
                  <c:v>Female</c:v>
                </c:pt>
                <c:pt idx="1">
                  <c:v>Male</c:v>
                </c:pt>
                <c:pt idx="2">
                  <c:v>Other</c:v>
                </c:pt>
                <c:pt idx="3">
                  <c:v>Unknown</c:v>
                </c:pt>
              </c:strCache>
            </c:strRef>
          </c:cat>
          <c:val>
            <c:numRef>
              <c:f>Pivots!$Q$47:$Q$51</c:f>
              <c:numCache>
                <c:formatCode>General</c:formatCode>
                <c:ptCount val="4"/>
                <c:pt idx="0">
                  <c:v>733</c:v>
                </c:pt>
                <c:pt idx="1">
                  <c:v>479</c:v>
                </c:pt>
                <c:pt idx="2">
                  <c:v>17</c:v>
                </c:pt>
                <c:pt idx="3">
                  <c:v>186</c:v>
                </c:pt>
              </c:numCache>
            </c:numRef>
          </c:val>
          <c:extLst>
            <c:ext xmlns:c16="http://schemas.microsoft.com/office/drawing/2014/chart" uri="{C3380CC4-5D6E-409C-BE32-E72D297353CC}">
              <c16:uniqueId val="{00000008-4056-4721-AC1F-614C9603659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9F1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[ecommerce-blank.xlsx]Pivots!pvtProduct</c:name>
    <c:fmtId val="2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16432139543397E-2"/>
          <c:y val="0.15304642219698528"/>
          <c:w val="0.62303816995571903"/>
          <c:h val="0.82645023851752619"/>
        </c:manualLayout>
      </c:layout>
      <c:barChart>
        <c:barDir val="bar"/>
        <c:grouping val="stacked"/>
        <c:varyColors val="0"/>
        <c:ser>
          <c:idx val="0"/>
          <c:order val="0"/>
          <c:tx>
            <c:strRef>
              <c:f>Pivots!$B$46:$B$47</c:f>
              <c:strCache>
                <c:ptCount val="1"/>
              </c:strCache>
            </c:strRef>
          </c:tx>
          <c:spPr>
            <a:solidFill>
              <a:schemeClr val="accent1"/>
            </a:solidFill>
            <a:ln>
              <a:noFill/>
            </a:ln>
            <a:effectLst/>
          </c:spPr>
          <c:invertIfNegative val="0"/>
          <c:cat>
            <c:strRef>
              <c:f>Pivots!$A$48:$A$68</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Pivots!$B$48:$B$68</c:f>
              <c:numCache>
                <c:formatCode>General</c:formatCode>
                <c:ptCount val="20"/>
                <c:pt idx="0">
                  <c:v>35</c:v>
                </c:pt>
                <c:pt idx="1">
                  <c:v>105</c:v>
                </c:pt>
                <c:pt idx="3">
                  <c:v>10</c:v>
                </c:pt>
                <c:pt idx="4">
                  <c:v>2</c:v>
                </c:pt>
                <c:pt idx="6">
                  <c:v>6</c:v>
                </c:pt>
                <c:pt idx="7">
                  <c:v>2</c:v>
                </c:pt>
                <c:pt idx="8">
                  <c:v>10</c:v>
                </c:pt>
                <c:pt idx="9">
                  <c:v>3</c:v>
                </c:pt>
                <c:pt idx="11">
                  <c:v>4</c:v>
                </c:pt>
                <c:pt idx="16">
                  <c:v>9</c:v>
                </c:pt>
              </c:numCache>
            </c:numRef>
          </c:val>
          <c:extLst>
            <c:ext xmlns:c16="http://schemas.microsoft.com/office/drawing/2014/chart" uri="{C3380CC4-5D6E-409C-BE32-E72D297353CC}">
              <c16:uniqueId val="{00000000-F095-47F7-8388-9712B084E759}"/>
            </c:ext>
          </c:extLst>
        </c:ser>
        <c:ser>
          <c:idx val="1"/>
          <c:order val="1"/>
          <c:tx>
            <c:strRef>
              <c:f>Pivots!$C$46:$C$47</c:f>
              <c:strCache>
                <c:ptCount val="1"/>
                <c:pt idx="0">
                  <c:v>F</c:v>
                </c:pt>
              </c:strCache>
            </c:strRef>
          </c:tx>
          <c:spPr>
            <a:solidFill>
              <a:schemeClr val="accent2"/>
            </a:solidFill>
            <a:ln>
              <a:noFill/>
            </a:ln>
            <a:effectLst/>
          </c:spPr>
          <c:invertIfNegative val="0"/>
          <c:cat>
            <c:strRef>
              <c:f>Pivots!$A$48:$A$68</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Pivots!$C$48:$C$68</c:f>
              <c:numCache>
                <c:formatCode>General</c:formatCode>
                <c:ptCount val="20"/>
                <c:pt idx="0">
                  <c:v>122</c:v>
                </c:pt>
                <c:pt idx="1">
                  <c:v>49</c:v>
                </c:pt>
                <c:pt idx="2">
                  <c:v>92</c:v>
                </c:pt>
                <c:pt idx="3">
                  <c:v>82</c:v>
                </c:pt>
                <c:pt idx="4">
                  <c:v>73</c:v>
                </c:pt>
                <c:pt idx="5">
                  <c:v>53</c:v>
                </c:pt>
                <c:pt idx="6">
                  <c:v>65</c:v>
                </c:pt>
                <c:pt idx="7">
                  <c:v>28</c:v>
                </c:pt>
                <c:pt idx="8">
                  <c:v>38</c:v>
                </c:pt>
                <c:pt idx="9">
                  <c:v>9</c:v>
                </c:pt>
                <c:pt idx="10">
                  <c:v>32</c:v>
                </c:pt>
                <c:pt idx="11">
                  <c:v>24</c:v>
                </c:pt>
                <c:pt idx="12">
                  <c:v>12</c:v>
                </c:pt>
                <c:pt idx="13">
                  <c:v>22</c:v>
                </c:pt>
                <c:pt idx="14">
                  <c:v>5</c:v>
                </c:pt>
                <c:pt idx="15">
                  <c:v>11</c:v>
                </c:pt>
                <c:pt idx="16">
                  <c:v>9</c:v>
                </c:pt>
                <c:pt idx="17">
                  <c:v>7</c:v>
                </c:pt>
              </c:numCache>
            </c:numRef>
          </c:val>
          <c:extLst>
            <c:ext xmlns:c16="http://schemas.microsoft.com/office/drawing/2014/chart" uri="{C3380CC4-5D6E-409C-BE32-E72D297353CC}">
              <c16:uniqueId val="{00000001-F095-47F7-8388-9712B084E759}"/>
            </c:ext>
          </c:extLst>
        </c:ser>
        <c:ser>
          <c:idx val="2"/>
          <c:order val="2"/>
          <c:tx>
            <c:strRef>
              <c:f>Pivots!$D$46:$D$47</c:f>
              <c:strCache>
                <c:ptCount val="1"/>
                <c:pt idx="0">
                  <c:v>M</c:v>
                </c:pt>
              </c:strCache>
            </c:strRef>
          </c:tx>
          <c:spPr>
            <a:solidFill>
              <a:schemeClr val="accent3"/>
            </a:solidFill>
            <a:ln>
              <a:noFill/>
            </a:ln>
            <a:effectLst/>
          </c:spPr>
          <c:invertIfNegative val="0"/>
          <c:cat>
            <c:strRef>
              <c:f>Pivots!$A$48:$A$68</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Pivots!$D$48:$D$68</c:f>
              <c:numCache>
                <c:formatCode>General</c:formatCode>
                <c:ptCount val="20"/>
                <c:pt idx="0">
                  <c:v>82</c:v>
                </c:pt>
                <c:pt idx="1">
                  <c:v>79</c:v>
                </c:pt>
                <c:pt idx="2">
                  <c:v>38</c:v>
                </c:pt>
                <c:pt idx="3">
                  <c:v>7</c:v>
                </c:pt>
                <c:pt idx="4">
                  <c:v>22</c:v>
                </c:pt>
                <c:pt idx="5">
                  <c:v>32</c:v>
                </c:pt>
                <c:pt idx="6">
                  <c:v>17</c:v>
                </c:pt>
                <c:pt idx="7">
                  <c:v>55</c:v>
                </c:pt>
                <c:pt idx="8">
                  <c:v>33</c:v>
                </c:pt>
                <c:pt idx="9">
                  <c:v>33</c:v>
                </c:pt>
                <c:pt idx="10">
                  <c:v>10</c:v>
                </c:pt>
                <c:pt idx="11">
                  <c:v>9</c:v>
                </c:pt>
                <c:pt idx="12">
                  <c:v>19</c:v>
                </c:pt>
                <c:pt idx="13">
                  <c:v>7</c:v>
                </c:pt>
                <c:pt idx="14">
                  <c:v>20</c:v>
                </c:pt>
                <c:pt idx="15">
                  <c:v>10</c:v>
                </c:pt>
                <c:pt idx="17">
                  <c:v>3</c:v>
                </c:pt>
                <c:pt idx="18">
                  <c:v>2</c:v>
                </c:pt>
                <c:pt idx="19">
                  <c:v>1</c:v>
                </c:pt>
              </c:numCache>
            </c:numRef>
          </c:val>
          <c:extLst>
            <c:ext xmlns:c16="http://schemas.microsoft.com/office/drawing/2014/chart" uri="{C3380CC4-5D6E-409C-BE32-E72D297353CC}">
              <c16:uniqueId val="{00000002-F095-47F7-8388-9712B084E759}"/>
            </c:ext>
          </c:extLst>
        </c:ser>
        <c:ser>
          <c:idx val="3"/>
          <c:order val="3"/>
          <c:tx>
            <c:strRef>
              <c:f>Pivots!$E$46:$E$47</c:f>
              <c:strCache>
                <c:ptCount val="1"/>
                <c:pt idx="0">
                  <c:v>O</c:v>
                </c:pt>
              </c:strCache>
            </c:strRef>
          </c:tx>
          <c:spPr>
            <a:solidFill>
              <a:schemeClr val="accent4"/>
            </a:solidFill>
            <a:ln>
              <a:noFill/>
            </a:ln>
            <a:effectLst/>
          </c:spPr>
          <c:invertIfNegative val="0"/>
          <c:cat>
            <c:strRef>
              <c:f>Pivots!$A$48:$A$68</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Pivots!$E$48:$E$68</c:f>
              <c:numCache>
                <c:formatCode>General</c:formatCode>
                <c:ptCount val="20"/>
                <c:pt idx="0">
                  <c:v>1</c:v>
                </c:pt>
                <c:pt idx="5">
                  <c:v>6</c:v>
                </c:pt>
                <c:pt idx="9">
                  <c:v>7</c:v>
                </c:pt>
                <c:pt idx="16">
                  <c:v>3</c:v>
                </c:pt>
              </c:numCache>
            </c:numRef>
          </c:val>
          <c:extLst>
            <c:ext xmlns:c16="http://schemas.microsoft.com/office/drawing/2014/chart" uri="{C3380CC4-5D6E-409C-BE32-E72D297353CC}">
              <c16:uniqueId val="{00000003-F095-47F7-8388-9712B084E759}"/>
            </c:ext>
          </c:extLst>
        </c:ser>
        <c:dLbls>
          <c:showLegendKey val="0"/>
          <c:showVal val="0"/>
          <c:showCatName val="0"/>
          <c:showSerName val="0"/>
          <c:showPercent val="0"/>
          <c:showBubbleSize val="0"/>
        </c:dLbls>
        <c:gapWidth val="10"/>
        <c:overlap val="100"/>
        <c:axId val="1707097119"/>
        <c:axId val="1707098079"/>
      </c:barChart>
      <c:catAx>
        <c:axId val="170709711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8079"/>
        <c:crosses val="autoZero"/>
        <c:auto val="1"/>
        <c:lblAlgn val="ctr"/>
        <c:lblOffset val="100"/>
        <c:noMultiLvlLbl val="0"/>
      </c:catAx>
      <c:valAx>
        <c:axId val="170709807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[ecommerce-blank.xlsx]Sheet1!pvtDuration</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Sheet1!$A$4:$A$15</c:f>
              <c:strCache>
                <c:ptCount val="11"/>
                <c:pt idx="0">
                  <c:v>0</c:v>
                </c:pt>
                <c:pt idx="1">
                  <c:v>1</c:v>
                </c:pt>
                <c:pt idx="2">
                  <c:v>2</c:v>
                </c:pt>
                <c:pt idx="3">
                  <c:v>3</c:v>
                </c:pt>
                <c:pt idx="4">
                  <c:v>4</c:v>
                </c:pt>
                <c:pt idx="5">
                  <c:v>5</c:v>
                </c:pt>
                <c:pt idx="6">
                  <c:v>6</c:v>
                </c:pt>
                <c:pt idx="7">
                  <c:v>7</c:v>
                </c:pt>
                <c:pt idx="8">
                  <c:v>8</c:v>
                </c:pt>
                <c:pt idx="9">
                  <c:v>9</c:v>
                </c:pt>
                <c:pt idx="10">
                  <c:v>13</c:v>
                </c:pt>
              </c:strCache>
            </c:strRef>
          </c:cat>
          <c:val>
            <c:numRef>
              <c:f>Sheet1!$B$4:$B$15</c:f>
              <c:numCache>
                <c:formatCode>General</c:formatCode>
                <c:ptCount val="11"/>
                <c:pt idx="0">
                  <c:v>17</c:v>
                </c:pt>
                <c:pt idx="1">
                  <c:v>86</c:v>
                </c:pt>
                <c:pt idx="2">
                  <c:v>50</c:v>
                </c:pt>
                <c:pt idx="3">
                  <c:v>37</c:v>
                </c:pt>
                <c:pt idx="4">
                  <c:v>28</c:v>
                </c:pt>
                <c:pt idx="5">
                  <c:v>12</c:v>
                </c:pt>
                <c:pt idx="6">
                  <c:v>11</c:v>
                </c:pt>
                <c:pt idx="7">
                  <c:v>2</c:v>
                </c:pt>
                <c:pt idx="8">
                  <c:v>3</c:v>
                </c:pt>
                <c:pt idx="9">
                  <c:v>1</c:v>
                </c:pt>
                <c:pt idx="10">
                  <c:v>1</c:v>
                </c:pt>
              </c:numCache>
            </c:numRef>
          </c:val>
          <c:extLst>
            <c:ext xmlns:c16="http://schemas.microsoft.com/office/drawing/2014/chart" uri="{C3380CC4-5D6E-409C-BE32-E72D297353CC}">
              <c16:uniqueId val="{00000000-0E2D-463A-A214-19891CC7FEB4}"/>
            </c:ext>
          </c:extLst>
        </c:ser>
        <c:dLbls>
          <c:showLegendKey val="0"/>
          <c:showVal val="0"/>
          <c:showCatName val="0"/>
          <c:showSerName val="0"/>
          <c:showPercent val="0"/>
          <c:showBubbleSize val="0"/>
        </c:dLbls>
        <c:gapWidth val="12"/>
        <c:overlap val="-27"/>
        <c:axId val="577878480"/>
        <c:axId val="577878960"/>
      </c:barChart>
      <c:catAx>
        <c:axId val="57787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878960"/>
        <c:crosses val="autoZero"/>
        <c:auto val="1"/>
        <c:lblAlgn val="ctr"/>
        <c:lblOffset val="100"/>
        <c:noMultiLvlLbl val="0"/>
      </c:catAx>
      <c:valAx>
        <c:axId val="57787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87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[ecommerce-blank.xlsx]Sheet1!pvtRating</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22231491729892E-2"/>
          <c:y val="7.3879459963096264E-2"/>
          <c:w val="0.85326097383639199"/>
          <c:h val="0.84204505686789155"/>
        </c:manualLayout>
      </c:layout>
      <c:barChart>
        <c:barDir val="col"/>
        <c:grouping val="clustered"/>
        <c:varyColors val="0"/>
        <c:ser>
          <c:idx val="0"/>
          <c:order val="0"/>
          <c:tx>
            <c:strRef>
              <c:f>Sheet1!$B$23:$B$24</c:f>
              <c:strCache>
                <c:ptCount val="1"/>
                <c:pt idx="0">
                  <c:v>1</c:v>
                </c:pt>
              </c:strCache>
            </c:strRef>
          </c:tx>
          <c:spPr>
            <a:solidFill>
              <a:schemeClr val="accent1"/>
            </a:solidFill>
            <a:ln>
              <a:noFill/>
            </a:ln>
            <a:effectLst/>
          </c:spPr>
          <c:invertIfNegative val="0"/>
          <c:cat>
            <c:strRef>
              <c:f>Sheet1!$A$25:$A$28</c:f>
              <c:strCache>
                <c:ptCount val="3"/>
                <c:pt idx="0">
                  <c:v>Jan</c:v>
                </c:pt>
                <c:pt idx="1">
                  <c:v>Feb</c:v>
                </c:pt>
                <c:pt idx="2">
                  <c:v>Mar</c:v>
                </c:pt>
              </c:strCache>
            </c:strRef>
          </c:cat>
          <c:val>
            <c:numRef>
              <c:f>Sheet1!$B$25:$B$28</c:f>
              <c:numCache>
                <c:formatCode>General</c:formatCode>
                <c:ptCount val="3"/>
                <c:pt idx="0">
                  <c:v>2</c:v>
                </c:pt>
                <c:pt idx="1">
                  <c:v>1</c:v>
                </c:pt>
                <c:pt idx="2">
                  <c:v>2</c:v>
                </c:pt>
              </c:numCache>
            </c:numRef>
          </c:val>
          <c:extLst>
            <c:ext xmlns:c16="http://schemas.microsoft.com/office/drawing/2014/chart" uri="{C3380CC4-5D6E-409C-BE32-E72D297353CC}">
              <c16:uniqueId val="{00000000-1D5C-468F-98C8-0A6CF10C14EE}"/>
            </c:ext>
          </c:extLst>
        </c:ser>
        <c:ser>
          <c:idx val="1"/>
          <c:order val="1"/>
          <c:tx>
            <c:strRef>
              <c:f>Sheet1!$C$23:$C$24</c:f>
              <c:strCache>
                <c:ptCount val="1"/>
                <c:pt idx="0">
                  <c:v>2</c:v>
                </c:pt>
              </c:strCache>
            </c:strRef>
          </c:tx>
          <c:spPr>
            <a:solidFill>
              <a:schemeClr val="accent2"/>
            </a:solidFill>
            <a:ln>
              <a:noFill/>
            </a:ln>
            <a:effectLst/>
          </c:spPr>
          <c:invertIfNegative val="0"/>
          <c:cat>
            <c:strRef>
              <c:f>Sheet1!$A$25:$A$28</c:f>
              <c:strCache>
                <c:ptCount val="3"/>
                <c:pt idx="0">
                  <c:v>Jan</c:v>
                </c:pt>
                <c:pt idx="1">
                  <c:v>Feb</c:v>
                </c:pt>
                <c:pt idx="2">
                  <c:v>Mar</c:v>
                </c:pt>
              </c:strCache>
            </c:strRef>
          </c:cat>
          <c:val>
            <c:numRef>
              <c:f>Sheet1!$C$25:$C$28</c:f>
              <c:numCache>
                <c:formatCode>General</c:formatCode>
                <c:ptCount val="3"/>
                <c:pt idx="0">
                  <c:v>2</c:v>
                </c:pt>
                <c:pt idx="1">
                  <c:v>4</c:v>
                </c:pt>
                <c:pt idx="2">
                  <c:v>5</c:v>
                </c:pt>
              </c:numCache>
            </c:numRef>
          </c:val>
          <c:extLst>
            <c:ext xmlns:c16="http://schemas.microsoft.com/office/drawing/2014/chart" uri="{C3380CC4-5D6E-409C-BE32-E72D297353CC}">
              <c16:uniqueId val="{00000001-1D5C-468F-98C8-0A6CF10C14EE}"/>
            </c:ext>
          </c:extLst>
        </c:ser>
        <c:ser>
          <c:idx val="2"/>
          <c:order val="2"/>
          <c:tx>
            <c:strRef>
              <c:f>Sheet1!$D$23:$D$24</c:f>
              <c:strCache>
                <c:ptCount val="1"/>
                <c:pt idx="0">
                  <c:v>3</c:v>
                </c:pt>
              </c:strCache>
            </c:strRef>
          </c:tx>
          <c:spPr>
            <a:solidFill>
              <a:schemeClr val="accent3"/>
            </a:solidFill>
            <a:ln>
              <a:noFill/>
            </a:ln>
            <a:effectLst/>
          </c:spPr>
          <c:invertIfNegative val="0"/>
          <c:cat>
            <c:strRef>
              <c:f>Sheet1!$A$25:$A$28</c:f>
              <c:strCache>
                <c:ptCount val="3"/>
                <c:pt idx="0">
                  <c:v>Jan</c:v>
                </c:pt>
                <c:pt idx="1">
                  <c:v>Feb</c:v>
                </c:pt>
                <c:pt idx="2">
                  <c:v>Mar</c:v>
                </c:pt>
              </c:strCache>
            </c:strRef>
          </c:cat>
          <c:val>
            <c:numRef>
              <c:f>Sheet1!$D$25:$D$28</c:f>
              <c:numCache>
                <c:formatCode>General</c:formatCode>
                <c:ptCount val="3"/>
                <c:pt idx="0">
                  <c:v>13</c:v>
                </c:pt>
                <c:pt idx="1">
                  <c:v>14</c:v>
                </c:pt>
                <c:pt idx="2">
                  <c:v>13</c:v>
                </c:pt>
              </c:numCache>
            </c:numRef>
          </c:val>
          <c:extLst>
            <c:ext xmlns:c16="http://schemas.microsoft.com/office/drawing/2014/chart" uri="{C3380CC4-5D6E-409C-BE32-E72D297353CC}">
              <c16:uniqueId val="{00000002-1D5C-468F-98C8-0A6CF10C14EE}"/>
            </c:ext>
          </c:extLst>
        </c:ser>
        <c:ser>
          <c:idx val="3"/>
          <c:order val="3"/>
          <c:tx>
            <c:strRef>
              <c:f>Sheet1!$E$23:$E$24</c:f>
              <c:strCache>
                <c:ptCount val="1"/>
                <c:pt idx="0">
                  <c:v>4</c:v>
                </c:pt>
              </c:strCache>
            </c:strRef>
          </c:tx>
          <c:spPr>
            <a:solidFill>
              <a:schemeClr val="accent4"/>
            </a:solidFill>
            <a:ln>
              <a:noFill/>
            </a:ln>
            <a:effectLst/>
          </c:spPr>
          <c:invertIfNegative val="0"/>
          <c:cat>
            <c:strRef>
              <c:f>Sheet1!$A$25:$A$28</c:f>
              <c:strCache>
                <c:ptCount val="3"/>
                <c:pt idx="0">
                  <c:v>Jan</c:v>
                </c:pt>
                <c:pt idx="1">
                  <c:v>Feb</c:v>
                </c:pt>
                <c:pt idx="2">
                  <c:v>Mar</c:v>
                </c:pt>
              </c:strCache>
            </c:strRef>
          </c:cat>
          <c:val>
            <c:numRef>
              <c:f>Sheet1!$E$25:$E$28</c:f>
              <c:numCache>
                <c:formatCode>General</c:formatCode>
                <c:ptCount val="3"/>
                <c:pt idx="0">
                  <c:v>42</c:v>
                </c:pt>
                <c:pt idx="1">
                  <c:v>36</c:v>
                </c:pt>
                <c:pt idx="2">
                  <c:v>31</c:v>
                </c:pt>
              </c:numCache>
            </c:numRef>
          </c:val>
          <c:extLst>
            <c:ext xmlns:c16="http://schemas.microsoft.com/office/drawing/2014/chart" uri="{C3380CC4-5D6E-409C-BE32-E72D297353CC}">
              <c16:uniqueId val="{00000003-1D5C-468F-98C8-0A6CF10C14EE}"/>
            </c:ext>
          </c:extLst>
        </c:ser>
        <c:ser>
          <c:idx val="4"/>
          <c:order val="4"/>
          <c:tx>
            <c:strRef>
              <c:f>Sheet1!$F$23:$F$24</c:f>
              <c:strCache>
                <c:ptCount val="1"/>
                <c:pt idx="0">
                  <c:v>5</c:v>
                </c:pt>
              </c:strCache>
            </c:strRef>
          </c:tx>
          <c:spPr>
            <a:solidFill>
              <a:schemeClr val="accent5"/>
            </a:solidFill>
            <a:ln>
              <a:noFill/>
            </a:ln>
            <a:effectLst/>
          </c:spPr>
          <c:invertIfNegative val="0"/>
          <c:cat>
            <c:strRef>
              <c:f>Sheet1!$A$25:$A$28</c:f>
              <c:strCache>
                <c:ptCount val="3"/>
                <c:pt idx="0">
                  <c:v>Jan</c:v>
                </c:pt>
                <c:pt idx="1">
                  <c:v>Feb</c:v>
                </c:pt>
                <c:pt idx="2">
                  <c:v>Mar</c:v>
                </c:pt>
              </c:strCache>
            </c:strRef>
          </c:cat>
          <c:val>
            <c:numRef>
              <c:f>Sheet1!$F$25:$F$28</c:f>
              <c:numCache>
                <c:formatCode>General</c:formatCode>
                <c:ptCount val="3"/>
                <c:pt idx="0">
                  <c:v>24</c:v>
                </c:pt>
                <c:pt idx="1">
                  <c:v>37</c:v>
                </c:pt>
                <c:pt idx="2">
                  <c:v>22</c:v>
                </c:pt>
              </c:numCache>
            </c:numRef>
          </c:val>
          <c:extLst>
            <c:ext xmlns:c16="http://schemas.microsoft.com/office/drawing/2014/chart" uri="{C3380CC4-5D6E-409C-BE32-E72D297353CC}">
              <c16:uniqueId val="{00000004-1D5C-468F-98C8-0A6CF10C14EE}"/>
            </c:ext>
          </c:extLst>
        </c:ser>
        <c:dLbls>
          <c:showLegendKey val="0"/>
          <c:showVal val="0"/>
          <c:showCatName val="0"/>
          <c:showSerName val="0"/>
          <c:showPercent val="0"/>
          <c:showBubbleSize val="0"/>
        </c:dLbls>
        <c:gapWidth val="219"/>
        <c:overlap val="-27"/>
        <c:axId val="708623904"/>
        <c:axId val="708624384"/>
      </c:barChart>
      <c:catAx>
        <c:axId val="7086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24384"/>
        <c:crosses val="autoZero"/>
        <c:auto val="1"/>
        <c:lblAlgn val="ctr"/>
        <c:lblOffset val="100"/>
        <c:noMultiLvlLbl val="0"/>
      </c:catAx>
      <c:valAx>
        <c:axId val="70862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2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7DB16B1F-5BF5-41F1-BF99-707E00B62569}">
          <cx:tx>
            <cx:txData>
              <cx:f>_xlchart.v5.2</cx:f>
              <cx:v>Qty</cx:v>
            </cx:txData>
          </cx:tx>
          <cx:dataId val="0"/>
          <cx:layoutPr>
            <cx:geography cultureLanguage="en-US" cultureRegion="IN" attribution="Powered by Bing">
              <cx:geoCache provider="{E9337A44-BEBE-4D9F-B70C-5C5E7DAFC167}">
                <cx:binary>7H1rb9w4svZfCfL5lYcXiRQXOwsspb757thxLl+Ejt3RXZSou379qbadrFtuz8rAGC9O43QymNjq
kkp6xGLVU8XiP++6f9wlm7X+0KVJVv7jrvvzY1BV+T/++KO8CzbpujxKwzutSvWzOrpT6R/q58/w
bvPHvV63Yeb/QRA2/7gL1rradB//9U84m79Rp+puXYUqu6o3uv+0KeukKv/i2N5DH9b3aZi5YVnp
8K7Cf3501kn4U+ksXH/cPUbgmErqcv3BUXVW9R8/bLIqrPqbPt/8+XHnNOTjhz/GV3uh2YcElK/q
exCm4oggQSjDFnr4wAkSlflPhw1MyBFCNmXCtH5d9nydguR0jR70Wd/f601Zwo09/P+F/M5dwNF/
/9dncLd9Ftun7wMQf378nIXV5v7DdbWuNuXHD2GpHh6W7h21vdHP1w9P5o9d/P71z9Ev4FmNfvMM
4vGD/W+HdlH8Lwgv6/SHSu6rvx9jEx1xm2HTJGwMrnmEGabIJrZ4+OxC/BaV9oP84gwTYH4hc2BA
/ztd3yv998NM7SNqcoaIbY5hhheAEyIoEg9jHO/CPF2h/SCP5CdAPJI4MIBP1/HmHeAVR8ikmCOA
8TVLLbCFmc1hmD9OEI+Weqo++9HdkZ6A7c73DwzZfycw9d2/xzTMj2xkghlm9NEQ8/EQJkeEExje
MD8/x/YNGu2Hd3yCCQiPRQ4M5PN1/h4I20dEAIKY4MfhS/cgbAsTWfYI4qn67Md3R3oCuDvfPzBk
T8CfL9/BMrMjSmCCNU3rcfCKEbRYHDE4BtDDsH4+eicrtB/bXfEJ4O4KHBi6i2STZe+ArjiyCLKw
eOk9kyMsbMypNRqxkzXZD+uu+ARYdwUODNZ/J3mYvYc/ZR8xQS0IfM3HUWu/HLUcPpbFwZ9+Pmqn
a7Qf35H8BIBHEgeGMPAe62aj1+9hmm0YooxgMM+vOM3oiNlbAsQcOc1vUmo/zi9PMQHql0KHhrYC
1mbrYJXV+7hZCAOZQSnfP6qBz8LUtC2OYbw/H9XOG/V6BfN9Z5kC+z65A0N+lnxwlQby4x0mafuI
E8Es8hQ+ibELRoACEQID8OzBEIwokDepth/5l6eYAPtLoQPDXNZV9R6TNzhlGIw2em3yJvjIskyG
wefeHeaTFdqP8q74BIR3BQ4M3U8hzNtleP8eCNMjYSOL0sfxihDguJOYwPyIwqwOMRWM9eeG/E1K
7Uf55SkmIP1S6MDQPlPZ+5huAj62zZ5SEGJMfUH0TIhtC2A+d4Geqs9+jHekJ8C78/0DQ9bdJB/O
FWQ4//6Z2cRH3DKBHdl6ZdvPGF5iQgbSpMBsjqLoNym1H+OXp5gA9EuhA0P7ep19OFbrog7fgy7h
R8ICxIlJXuE5MRChwJUJ8ZhxHs3Pb1RuP+77TjIB+X1iB4b9HJLw72LF2RGnmFkWxo/DfOyAgxXn
tgV/8KiOYLpG+7EeyU+AeSRxYAiv0nyjw3Xy95tySiCGIrYFWcj9QxtbRxa8AhaGLPT2Mxrab9Fs
P9YvzjAB7RcyB4Y3GK0tkZKsH0iV+m8uDwInG4oKIOX8NHuPSVKIs2zbxqY1Lg96o1r78d53kgmQ
7xM7MNRXWf8evjiDNDSBdAd/4sRfWPEtnyoYA8x3ffGp+uzHeUd6AsA73z8wZK+3jMl7lAcJID4J
AS78aYbeM5QZsaBMTIyo8Oka7Ud3JD8B35HEgSF8stHv4XhbwIc8MGJPjMkLwgQKiCAIg5dgnIWe
qM9+dHfuZgK2O98/MGRP12W5eQdsoYLThDylLZ5iKvSieATSWHDYtNkI2+ka7Ud3JD8B35HEgSF8
ttbvFTVzE+Jm9JTAeGGcyZFFMcArRhPvZIX247srPgHeXYEDQ/dUlR/+nfmbZPMeuWjzCFmEUPtX
mdAYYwwlYubW3YYizz3h0xuV24/3vpNMQH2f2IFhf6bu1d3fHzQD/2kKJKD6iz0SIy9q8NERsGWQ
x8Jg1J/nMSYrtB/pXfEJGO8KHBq663uoMPn74aXsCOpLoAIMTPevQbuTpoLEM2JQcGDicfZiskav
4LsrPwXgXYmDQ1iHuXqXNVL8CPADhO0n92uPZy2YyW0CKaqHz2ggg88wVbPXsB6dYRLaI5n/BXj/
tYo7N71dTfXvX895z0K4t66D40dggxkT+HGJzMt0M9TwYk44hoG8B2Mo2/q9du/RiO/TaT+6z2V3
7vHxFv/6ofyvW+cG5NwHCRHnWt+H75KJgDVtsGAR2/Rpncw4VoLCAQJ19mJcN/B2xfbD+cp59iC7
8ytY5PmK5IG9AGebDDyt98EeOK4tc8n5U4ZibKkJhWQzZ5Ru09A7ztZblNqP+8v72sF3/5rWl0IH
hvY3lbwHUQ3F2xxIaigAG5UFQUICDnAM61p3EZ6qyH5wd6Qn4Lrz/QOD9Drc6HfxpaGojyEKq+DM
R196bLnBl4aDCEqF9pcOTNZrP8aj+5qA8kji0HCGmXqu19ldWN6pX4Npj1sDdTtv6znAoRQAIQ5J
pEdXapxlghptqB7Blk1HMdN2gvyt0ZRg7hWg955mCt57BQ8M9rONvoNGCs7f3moCcsmICfa70m/M
f8HwNm0sgP56HP8jAz5dr/2oj+QnwD2SODScYcnBRm/6d0CawewM8zNFT6tuXhhyfMQsZjI6Xs4M
RZaTdXoF5fEZpuA8ljkwpM83zfpdVq1DZS4j3KboifzagzPC0DnmRUp5ukb7UR7JT8B4JHFgCF/A
NO2/Q/UupVDyBatmbPbaIkloXGBBXxE2LvaartF+hEfyExAeSRwYwjebYJ2+A4ENqWUo12OQmXql
cBOcMVhog2EtzSP7OZqVp+u1H+eR/AScRxIHhvNlsr57l/If+wiWUGzH8hPBuc9W821pJ/ntlD8n
SKbrtR/nkfwEnEcSB4dzDa3n3sH3EkeCMg4rIZ/G84v1FugI6kQgIUlHhdiXyVSNXkN4R34SwjsS
B4bwt/rHO9hraNgHKQiosYb1UA8fiL53E46w8hFaQNngXf+K2R/bQE3VZz+6O9ITsN35/oEhCz0G
s7BM1vV7jF8OlVwIeoqw19p8YWjIuK0T4aNKoLdptR/lPeeYgPUeqUNDfH2nofVXVr0Pl21xaEVi
Qh+Kh88Li70tIdn+gerO7WfkgV2/SbdXcH95jim4v5Q6MNxvaui7mr5L+xlYJ2dDHhLKrR9AfZFw
BjYMqHCMbTKy42/RaT/aL84wAesXMgeGNFDLsIxGrvWP91lIY24p7W395ith1rZHmLAh0IJWuw+f
3cn7zertR37/aSbAv1/w8N4BKE2APsLvYeVhaY0FyyugVuwR3xdJD7DyiCDo0ztefgFJh+lavYr7
+BzTQB9LHRriwbp8jzZEwKpA2zBGbfqal07AukOdir3tKvc8zr6erNErSO/KT0F5V+LQEIbRc1qH
5YeLH2GZv8fAto4IoAg0N+Q0tx9wz3YDMlibAUtyoBXNnmzmG1V7BfNX7nEK+K+IHuBb4IYb/z3w
h1XRGFZuwMroEfBQaIbBBEAl2pPJH410ePSTdXod+N1TTIR8V+jAwL6BJTqwO8Lfz61tG+nD6jkA
+8lHexGpEeDWoFcobKewi/UbVNqP9PgEE3AeixwYyuCRfjiDvR7eY0g/FHxzWPb+NHD34AwtiaDU
0Bzh/Cal9iP98hQTsH4pdHhob/00XQ9//7DeruHgkOFCv5bojA35dg8U6ECFIM25O6zhsb9Bq1fx
Hp9jGuBjqUNDPCzjsFf134/3tiUVheoy8qvZ/otQjBwxIGAtWLgzwvsNOr2C9vgMU7AeyxwY0rcQ
/9TvUlAKrcWgXJSi15rBblvLCUh5MjTi0t+g0n6cxyeYAPNY5MBQvlbJ+l3We8CqWehaYW/LzfbH
X2C9TQElwy+Ilcka7cd4dEcTIB5JHBzCmXqPEhXY2MikgsHuGa+VEz6EYMyEVXojew0dK6dp9BrC
O/KTEN6RODCEb2poM/UeZWawgwZF2wKjV5IhD4Z622jKGs3I0zXaj/BIfgLCI4n/Hwi/vkPd763+
3HW1nj1sEvhsk7q/PvrwgGBvw5HoEzu5v+7/kblc3f/5ERZcUagCBQf591qA7Yl2uM3fnTV/jdJd
wQ1wsX9+hC0HKTR35gKocFggAG1NYFC3m6dDMKML6GFEwSBA8LUNvzLoWxr8+dHc7lOIwMo/rAtC
ULL28UOp6odDGLhWBOEcYeDWcRMajf6610uV9L7Kfj+Yp58/ZHV6qcKsKv/8CFUy+eO3ttrCLAIv
IVRfmNttA6gJQQMcv1t/2m4tA0/h/1VeHZXJkJHLTHVLFIen3I8d2vSzZ09mz2WAQ9y5ENwJVORB
JTz0BRBUEGhYv3shw0exZQdxe2lZLF5VPrLNmTXUx2mYhlIRP5ZGyw0XV+pC9PVpEeefOdG1k5dV
57RpVM1ijeOTRlvCpUogh/ZVKA0r96XX6q9tmedOagdaBjT3nKBMrnO4oEPy5FKhMJOYZ6G0C1K4
ttH4DuWpKdPBPinSzhER0k6Gy8EVFltSGmdzjzVzYlqVWw8Cu2XcyZybXwybnwmzFhJu82tgJspp
OuuaEvrJSLtzw7DOqxA1ErVhJKFD8EqL5rz1Un+WCvzZ8+1EIr9pXBKEgayb6soyhnlr1l+ErTfE
59/9tP+mh7SQcc0zN+nDS0t7J4yn4Ry29lgy4elFGWhASOvPivnL0DZ9JwmCEyTMH1kbxPMmRbnL
mj50EtXlrlH7Siamyua4Gr7jNG2cwYwuTFvP7T6xpJFTt2Dx95rjz7r0z1SX1lLh/hMv6gWwhEuf
+YasmjIFRWko/SoznYBY10afJ05aFbbDxXdRpTNEO7cugkKWtRlLeCFc2B6MA37RIub1T7svQ4mY
dWY0tbVCWZq5hWIO5v05aWun60tTtgEO5zFOLoskiOaUtoshNc983/Nlhc2FaODZBm0cSINZjZsX
4nvWWEvRx59UNvQuHcrbkOHB8UuhJa2S67KtV9iKG1dTdIdg8Ei/7W+TMLQWHR0uSJcxWQZRI/Wg
73FC7kmbECfu8FIlYgV9YbETt+0ija2rNLbdjit2yumQOSzJ7oYo/xrwMnBSpm5YE0euWfB42dZ0
wXnrEOrN7cwUegavWCA7sw1muAuKdRYpX88H26h6x2Kdlhh1cdjInmi/XJptkbmIt3Nst6HEhe6O
k8QqJemxgzy80ia9b5FYhRaeN4PSnezjvLmNLRrGcHcYDdIKLcutOxy6cURWNDeXuInPK+TPertY
eyz8hGNjA/2XYlmI8krB23jTk+am88vK6UTrqjbGKyO10lnWNqe2TpRrlCWcN86cpmzCVVL77TcW
8XLW+fmZHyLPKfNuaXuFDMzyNI9it6nKZdtWXwcvi2QnIqeJ0GWk1VnMYMjSLL5MiHWSGMZqSAJT
Bn4QzIauT+dRE96ztk9l1EZUdjX+FFRs0alqEw9+63S1ITOWf231LL3hq8DUJ3FlLHvG112Evg9W
Hzs86UvZJ98T87ppy2Vf18e58mViaBll2iFzhNxAmJUMBjprqblsCJ1rHCgZDnmzoDyq5gjH8Dwb
83tmYll1qnU9Q2tptvmixtlFr9pvWkWlDHvztqqQfZYbkVncqKhxfNvU3lKRFCf/zYyiF1YUpguT
QQcWaG4HSRiI9Z+b67Isqen1rL9se4dLc+Edd9fqbBVV0lhnX/JZvKKOJ72T3IlqN1rQ1V+bcZj/
ns0WWyMOlxew4hgKMsmWUti9vPZqqzFYPVw2fJ17K4EqKbrvhkrl268DS+YQBycK6scQMJbPb1NU
MGeFXTNc4vA06EqZJBvhr9q6/C/X2Z39Hu8HnifMgRjBOq1tDdrz6xSFmVs1DtAls040u8ipgvf3
y1/fi7kPs+c3M7pIHSBUknj70OblbeDEs2aJ7m3XzqU6S+Edk5/0TMt0Tpafz203kefNWTi/LWfe
7Co6buVSu/q0cuGLrprDf7Pbv9Zv2y/vBahQzSGgSg+qbC1rpF9SDwPOeoQvLemfe1dohs7wF/+Y
tI7h1G4vj7/hReecF/N2aVlOehJIepWDvq1MnAdVnhy8Jzfh0Tu5U3mvQz942mj694//ulEp/H3Y
tvg/v9zuU/2fnxYbta0BLcdf2l7n97fgMk/X3TpuOz+88CR/+U8jX/FxJ+xXDr7NkQRv53VH8nH/
2D1eJEj99iKh8Q7syUcsaN0CTYsxjMzfXiSUUBJIz28bulBM4B1/ciIh0oQWLghCkW0OB7YIAmSf
nEg4BFtNWFCaCS4Zgzoe/hYnkpLdd9xCsOMBtBqBRgXQUQQaY2+5iecDSeXWEFu9V16ghN7Eqrwm
pXWSmuVV3OWRbBszOPaRbFNsLqO+j9w0jr2517DWqbrak6jIC8n7tnZVb3xC5jA4Qc6xbM0KJugB
X1WoINIUcK6Mq2CWRDleCV8TmQfJteYwxQyZsiVW3ZlRICXTLMqddmgMx+gsz+UVj2ZJQwypq7Y4
B+/jBlb8WWe8GbLTiJBKKkYK6XulPyMJX5il8KXdqNZhQeDLQWc3QWZTNzHSXCJdrorcmnt25c/K
GBPJzXQzFMGtRokhYVpbKmpcG0OMpVeUZ8MwNHKw/B/QriWShVX3jlbtLNOrCJ9in943sF07dSrh
L5XyfLdtaiKLoY7gicSJmyVd7JKhzGd5H63bQeWyq/R9XbXHuMpbKRDckG68Vanty97gueyzmTGc
1hU+7kz7uxWxlUKRKUUPPpng1qn29WWYdp00m60R6vBFzHQifVTPsI0AEspLWfl+ueLaRLL00k/E
b80rYQR3HcmuysyuT7yEJk6IAzwnhSKy5A2eU6brWe6papbEOnK9uMVSI/uUhMGqr0NTWjpwIzv7
1MVlJNFQ41lBU+7YZd9LJtJuxhAvZn5RNdd+hWAqw+KLb6hIqjBfFCg6LmN+Y4phjQ0/W6R9LCtU
zaImEK4iQSxzqgOZm/myRQ1xWFUcwxbEJeBXLARNIyf2cIYuc7PKrsFXgQvrUuaxuhhMfReqVq1I
Y1zCC74WKlRSR352HMT4qy6aMx2I2jVsM3LDlm66tt40vO/nEJ3ksihtb8k760cKQ1QqUMWJQxbP
w7a+tohfnqQ2Om6i6Fs+iJOhAA/VUsFCtcZp0fe5LJGN5pXvYalir5W6LM+raIDh09wEvvejCLi9
zKjoZGSk195AwZkk9ZeC8lVcVP7SttQxpB4SqXqWzu0yWzHf+qwDFBw3FTi4cTRcwznb06KxGvDv
lJpVPoOAJxxC2egsnmOxBa+jvYOYx1zsmV9KFWmnGepalmWWHZek7pzO4FwGfVjIpEwqZ+hK9dVH
nr/MgkBfRswSsqWF22U9ntt1emuTIYKAIZh3TYRlSVQIAOXZzEuielaGcQijvSKrMlSBVBELXE3q
FRpstCrsYMWxlywY6CILRnsJZrGSdlpellE1SFVkS7MqlpHB3EgNlYyiKnLyxMAw0szKMRABx9gM
uCv80q1MnEkO/zBM6zLyhVRl8xl30Yml62NF+3Nh6uuGN7UcynQRGF4ss9QbZBbj86arP4fKymTS
B5epWV/Ffntrx91ZmQ5fS8/kMm4qMDgqumUNOTY7tOzL8qayGZJFnSGJlKJSJN1pXBYzjrSap70N
/rzuzjxNr+KsT2Zdi2ec5MekrjPZl/VP0/K+hz6+MFV0bjT5ZRHxwrGb8ofnWZ2s4+FrEpRUmoVt
z7Io/V6mnEiv9wJZkfxGBeZJZ+Rq1iTw1lQeREi3tI6sZWiyjC6AXSazQHXHwgqV+39T+CMXBFPe
X0zhD9t67pnCQerXFA6sH7RGpFA9tV1kDHP1syn8YXaHvQYgohQCXOznczjs/gd0okUtYAwZB17l
P3M4JbA/OhTr/KKPfvkqO64WkGBPPz8ngiBjuOMHwhxuEwKsEmXgDpsEbxezP5/Dfc3bKKJ2cmHg
4psfVq0c6uQH7q1VgtNMRmxwSrDv3Eolavh8oP6p6Ivz1k63FExarNKwSGXtG47mNZn7FpojRa/b
sCEzm6vaafz+FFWeywyYw0Jc3YY2yZ0EJ6eBVSROY+hlEpfrlHW+rLF575GwdHIj9R3f6k46u7mP
awzDIEa9iyidsb6xJO6zYYZqI3F1anUusevK4bWoHbNHzKlU1s8z1V+SHmJi4icndWdR2fvVV9pV
nVtm/b1C7BiCntwtuiyHkK+MZepTaQVDDd6GuAQC6EvjDb6MbAixg8AAx5dX8COLQmfwcyLT1Pck
91bUr+Y9V54sCiA7SNvdDoF/VvHsJPfykwDuCWx0CL4+IZ/aEGJk309ncUbOPExuvD6p5g3U78NM
SBtZlU0Fc5NhS9Oky5QCoePZ+Rfb0obDUO/XvmM1RehfVyTKv6Oive0Hsz2p7BLCmKpcJLhNZFTo
753frMIsXqR5y6RZWwpi2F7JmnpEBp59FvjklhZgTOqwvTCgzcEshmDFJdbgzwYR2tLXwlgYqv5E
jeDeSjy1aGPfwXUcnyi2rrp1Lvq5mbN12VO1qDVaJDX4UTpvU3UrcJBdJyjJ403oD/dtF3waKMzZ
vM4VmE4d2PZa4+jcA3p0haoMLbuKqAuiPXFhpl553AvPMUUNTARny0r34DcEKHQCU/TnNBp4KEOV
tovE4l/arHV5mAZntFObYmjIEilfFFIzOxgeI8f/C1W2Mf3rdu5xtfJLO7eV+mXnoGcVhdkYggAK
9uoh6vgdqlBoHwr2D1woMILAN/+2c1CMZlpQlWLD6nxYPgSR6H/sHOy1A9QxZMsEbHwLXLn9llgF
uPexnYPGiFC5DteCIkeIfUZ2LksgxZ6AGheNCOLSjSj9DLZqGWWZcVwn/gxXJjhoRtNLr6lXXduD
X5YSNsONOK6smDk5pXjuR/2NbahiUUdpIjMcgv/F0llU53c+6TD4IVXdeQvGVG241KhvS3swP/Vp
1C6YZt5pYPZsFXXcZQWhTs4bfWYRs5aWT8Bh4vhH5ZU/kVdXy7zNzjWJcOgwVcazsKs/9bi74k3E
roo8TRw/bm0XJVkttc1SmYhMS78WEAiIXMgUtLK7eB75tbHEEfdmURpyadfhPc5IV7tl44WyyqJm
yUpgWv188GRFY1/GXoYvPBIpYOEy+F0gsiXHCZY5XH4Ik0xqjjBcBUzaQIUtNbULV9D2LOHeRaSC
4y4jMGaBz64ysq4SWpww34OQowLD3XjRJ2WVTszUSWMgE4YpjZwwLfrFADyw1LWe2UAoOzpg3gzZ
xud8KK+F1ss8QPbKKoZL3cbA+jLxhRb8Tml1XkBpqwQi7xjb1qVVeTd+A6Fh22q3icVPnYOJqcWZ
VbalS0oD2OfM5Is8UV+jNjlmWfiti6rS6YXxs/PtwKkrMQ+T5ruViU2e8WKFzSB0oqyygYKEx9Ik
NJcUqMvTMGzBmoHV/04ydWn30W2MeAoBrwL2PbO6mWGLdpYCTQ0uZvmFNeU3m3WOMomaxX5Yw4wU
BuC/FreKinieIqDmO5v5bom6GwXQJwlpqBM2YDqzATdAQBvK8c36Mi8TmI9h6p7pob4z8+prE8T3
qZ+Zc4/i+9yLo3nQBdVxBvbeM2w69zPezFlHPWcowE7H8LouaoSAnffMVMPEXFhubtKVUQux8G0I
m6itYCAo+2cfMdeMyx80bwMpvJbPcFTGbs3Kn22WM9C2Tx0Y+7mTZ3EyDwcuWeAJybUQThHCGPE6
CFQaFQyuB1M5TSoq275Z+A0TbmB3F7TxlsTKLoMuu2CxvTKMcF6TVZq6Xnsm4JylWV3nRVs5rOeX
ccq+cJFexFmRQOwR9a4XdYsYA1VehLB1WPWVJwFyVVdpiDByMSu50I4SlZBVlM1VnJ8RUi9KI/1c
+jWEU/5plebpEpPSCQl4DUmzNOs2lrwV8LZ33UWakOHYRsm3oAzPLZZnkqGWr6KCnxKRnodVvkgM
CpFK2RNHxfEgGatC1w+w7Rg+Dld1FJ6SOjzFaf4twV0h7basJcQ5n01ufal1eUHS2FwEsRJuF2Hm
WIFpuRo2SgKOnEOWrK4Wvgn+mGBD5xh9+qll3pfBA/2KHAjSIaRgekDOT5MOoq/EBTZ+5Q16U2TU
nJEhgXgV8jrIV0Cy9CyWAh6r01TBF+LRq6qlwM6HdT9rotJ040azZVygn5BDPDHD8DQMAi67JKXw
WhcuSsNvA6M3nge4a09xp6iAAokj/MmyxTfsRan0aXZFjK6VeLB/MlEvqsHoZZHZ3oyUzZUO6oWX
kZsmKM9QY/iS5/ZxqCGP5PH0KoFkSMdD4zhok8+hVUFqpOqOWW/PGj/pgZcnlhMVSeKwrI1nidkp
d0DB2ZC1hrQ81bmGTn76g3dT5ODS9ZjEcHNBvuiC6F7n1oWvIDJEdju4JifEyYCMPml9Y1hWdj7n
LQfupxiuekhFzYymyp1Y+NcdDWc1MZYCfDoh0gZ8H30Me8UFMAsEvlMUab+gLaudhClgidL+a6q3
8T1aF2UXLjoS1I7dNuesTj8TqzkdgNGSGQlnZmPOgXOYNco+CXO9jEqvWg7wEgGTxUIJbN6i5/hu
wPmZ5YPN7gT4wFEwK7DeVFF4VnXFeuj8GQ9hdJY9uMAUf1N2BkSMHcuu9WZejJa8AmsKjqq59Y8g
WwSWO5c8TGzXirMEEnH8Jq/Ds8G0NnEFhjKkbBtI8iUMbggmh/AM01bLrhQXWgz+gpjtbQLvrbQT
EyirVgfOlmiDgXalraaRjA9qAQ7rGuZOPVNhUEsj6BXkCym7sG3DXhjQ/2GhS/01jPG1ldWJowbx
GfPqWxQHngQfsZNlBa9GwnOg1Do8H4j9g3p2t9BCA+ukfuioUDKz1X3pDYkUEW7cLKDDeRZHluvl
xSXMeWetCcfaPDipRGZCTlM7NDfUTKT1vcdiIPZ4cU+D7CKKROl4wAI4VeOd4ZzV0vT7YC6UaFy/
q0zpRXWyHWUF+OTWecARjLIcksxGqOaq9pe9VQQzDnbSgIi8NbLrXg3BIjSi7zHP76yWOzRI04Xn
xQvwIwADr7nGVo6doin48WDwVV4B7whGPHYScI2AaBt6hxm4vBCD6fp9+jNGsXLstL3ouJfI0vBP
EQ1TR1T5T9vI/BkUkX1rlYFnRpECsZ+xdRxYlsx94ysqau9K29kZWPNSeGdmEyyC0LQMJ6kDG7zw
WBTnKklUwKQOkQ+hTlg0EGVhUQSn/8cXPPIF4Ha+7kf/3in9pSu9TXb9cqWBMth6w9BAAfbCoVCj
/4wywNA5gyCI/WG11qOX/Yv2h52RGIemKIzAEswHf/kZZQA5PBO8HyByGRgz9hZXGrIPY1calgOB
Ww5lJMCjmnDeXcqg8L3OMnADtL+pbtst79cAAWgAXSF5VOpLY9iyg5Af/2qBZ+IIKwFXkBvgfaYw
eZVGkx0Pfl/LeIC0LLgfX2IgeF0d2b2Tw85f88GswBna8pRQB6GdyqzVrPBE4xRbPjMCYrPeMpy0
s4NjlvPPAshPSCRnczYAoc2BGIUcoL/UQJVWYffFa1kgmyi/1ioAwtkIxRIj/y4DorWj6MRI63OF
AuDXtlws0hGe9xbOZQ5EbdKGi37L3IJpOon65JtXkeOK5eVJACQvgtlo7hcMXMYWeD8GVDDTsbGs
tuyw7qwebEe3YYptuC0it9xyySWQyqKjXzOisuO8TpSEHhlr0gRXwZaJBjXvRAaujaWlTRvuGAFT
6raLekhRIAxODgTiFkTdSYTmvkquUi8wgPxMNyzBs24boaskX5gQs3PdgpMQ+0u0DefTxgKn73/Y
+7YlOXF1zVeZF2AFIEDoZiIGkjxVVdbRZZdvCJftkkBInARCPP18uKe7q9179YqO2PtixayI7g5H
pzOTBPHr/78Tdl13deUlxeQtt1RYklXAASrgAfMGDAAfajMepCiqG2xQAz9oZnsiifmsNmCh3yCG
CVjDuoEOqe+e06a26d0yWn7dmWXFGAIWnF0Lr3tbJxEDnJzrYqynKG+xoWcoxctBVZXK+qpmp653
4p7I8ENQCaDErvePYSqylUvysvo06xTalOlpShp+MUZ359VXAyuEJ49d3Ba29h+Cto2hK0hBEVWg
/6VfPVc27rJSTGlGPFPvCKdgB5Ju2cWtAWPutXe8LsssGbGLJf4T9cDP2BrcygQtVJOco0njFDv0
nvXysYurb5So69KrAQ8HfZ/ZwaiMetOXSI0uryPy4oXNZyhqgEpxenAsasFP1cfQ5489bcfdMq17
LyTo1NZ077REg0fB78jrpKQ3weRBoOTco1r1m9+0aHGmNMmS2M15JzkGJq/+GiTeJ/iy904sD40w
1272nmJPfDZgyKELYoCcvat+GS4+KT8sur5yFtNpX4bPXBGdi6F8Khd6ZWqcoS7k0Z50kKrIlF10
GL2U1H5I/GDNGt7UgPuhoqGV/zpG7MEO9YV3wz4sN2aMzrc2iB6Iw29RZXU/jMEJSak5puozByc1
Jfaq8+JX7szzplDiOr7MUXwrqvVIBpV1PkgEObpP8ZSmh5p7KpMVC3OACUDgem8CWdUu2OrnKp+r
4dMwqjNh840k4Un46/OkRYrzUZK8J/bUDXGVY8H6Wec1D2NFXjui2JHKBnNpkh5CU5OiqUxalKYd
i1CUat+y9bhGYZXVnapPmnb5MoK1CNGnbhUXVSrAZBbNd+0E0VHYG38/ze6e++BrAr8/+jgFqEn3
xCU39cS+xkmAtUWTD2ES3ZCox9A0ATiYXSd27VbiBow8M/cfQ6b3DRV1Fnajysa+PbMgbo4K013Q
mCnjyiR5gvU2rfwx8KNXqhq942F6I2dRHjj3vD0kew8BJUPWcxnkLqSvYUVlEQDayKKkKxzx1kxV
YQTI0u1lNb0NZi0f637FgD0ET7qaNRBWWn3thHdJ2nku2hE1oqo+WjGjrRNHFadvK1QvhdGgpETn
51L1aFCqMfZYBqmc+qi4R/nNGnL04cncFsh5uorT4YltNMSwERLr2n5u14oVXTSTzIC1KGcQEhQ8
RmK8Pl+n4S6qmosA00HAeCxgPoKNAiF6ODdriNk0aorJxPdgPG4m5o2YtkCg1GBSUjAqvjcQ4AQg
WWJb+hDvTE8E/EtV+ucGfEy9ETMSCDqOZv3ENs6md88qtvedre+wHnASwO4osDxrLHxQnhhQZ18f
po0KWph51OCGgmQ8++CKIn/5oEOWleCQEnBJHYt0luIPy0Yz0SYB4bRRTyypwqza6Cjtg7JCjd3Z
qjtqMFbDRl1RcFi8TgDubrRWvBFcmP5AdXX1ad3IL0/ak/5Bh23EmN4osmEjy9hGm7UbgSb9oQKp
DlKNL1AGbjTb/49d2fveKob38a8asvdPLfldBvzLu37rxvAsju15Z34CdBMDHT7wN2ATgShbbCxa
qhQ0/k9K3oAiJdr/hdp5L8LYnoKHDwQgkiJaAQ+z/DvdWIBm8J2OB/wNQ6hlgDIL6wgA2O0Rxu/5
G7OStuuxdV20JayYbSmAtJGaylxSO98nXuzO9TJrWfi+NC+mjeYPMhoBQYxM9x/fnb3/ik76E8oK
rfMPwBYKk2hLFPjj0UTadZKJab6EvQ4uHB1emU3QT4p8wW3Jshm61xc6d9j0BpWaPu/rAZhjuY40
ypH9qL8xY/xbfIaYdmHTBB/W2EuDg0vi8nvgvGDZ//URhwCffz5/EYKegQqzmPpg6n864ooKXFtn
LmSJOd8ly9p8mGHFIXtDHXqL2S0B2H9aptlKE1dBeOmTg5oHF+yGuTXfoFQbUSG9Lt6NpmrB4SiB
zYMOseQFb2txJyd2ViMT425Du59H0V/JxgIerIBG3gD1mNXhr3/Vny8DUjB90Ho0wdogP370O303
dR63XteMFw0a+LnlKeQqkQyxNDo9LXd2GdhjVwbNp7/+2p8HAwiBMJNQKL2xFvGf7bDefW3sLzzq
Rq4vOl2DSyDFdNHjkFdpKf6FfO1n1nL7JoakGQw8SK2ADOmP39TpyK39INpL2vnRl962Q3MoTerC
THaiwKjbrDnxXdrmNYmt+leLZlsU7/Xz+JXh9ozpiIBVQHX46evBV1SCa1VdaC/jL6qe4i+y2Y4h
XtVYJAPwX+fj0h9s01vIemRLv5uGjSfLXHS9JGSAkt3WrcxrqtUHMnQhARDq3PcOvP/O91boY2LW
RsMxJgkYyb++TsGfLxQGTJQNoORgZfAMkj+ePj+ZYh3HpYf2s1RfqsGMPAs8CZV3RpzT/GxFJV95
yrrrBRKnfdJGy9ZszfTNUOzvuQMqmUOmMH+vMGZ9m+NO0PNfH2T0J2p6Y32wiLacAtjUYwrq/P1y
Soa08gdhyA0ktl3J0p1hYj2AwCVsb+Zpyoel9+9n5eIJBK2g+RDowxgOAGOjDoLuplcPXRMr9B6N
5R9trdqTGzEDdHHffUhGaLvLXpf51NY1CEVDaguMZ9QX23njbe9BJsx5wOoMA61WOYY0dYwT0zyE
Nb/jTpMlaybaX0zZP5lQeQQK/BAnsnIhakMEhSU8AWl93Yg4fSn9KToLsPDXK19mlltfRCrHoqtO
XjpA+Gxduu4CG3u7tV6+dmNvHiffw+xilaH7cuynU1SG4VMvAisPJcaWKluFLF/x4Pthzirde58n
RRUwqTE8yVZ3p6BnzbdqxvADCY6SjxXDGJDNfcTPGKynHIBVdwDewG57CxlWZId+HwRLMBcgVgOe
z5anPXA9URZqJMNu6titKGHq2AVBa47YaiAX1X6dZKmhzadF+eIqHFj3GBMTHyZWe+F+TNT6JU3a
oQCpUa/7WaZ87y2L/yUcG/s28q6L8zU0Pmh3Hs58v5i6xc1hbeE4ZqH90JZiB8ZAHTX+KgDwaGhx
otVMs3qsay+nYCQy2sbLmkWmKXNiPK0OQyILMCXOv7ckiHbVCJke9EJRb/bEWDbCCkCX60Sua1Pe
T7Y3SmWuapwevolShOH6MlpvoQqMx4BS3n4NweIZdN+TmabOvxhplISYpurXw8wmU57UUFVdVodN
++hTj5xqAMhTPuEalBlGW7TAq1BputNlif3QNNL2RSIt9/OhMUF5K3oAPO1ROmrFzi0NM9fJaAhW
lC3bYLT5hL1wn3iiLm9n3DoJUOe0S7HgiIRRQzfVwLKmx+ZVFhihktwrEeQWZ6704d5oIehTOSAI
W+5tQxtVjCW6gn2suVrzdI1RMXUooylXYvDQEY+Oj3dj5SlVtLxK37xpxli489vQHKoondJL7JW8
PGsCnWWMvncZ+9UBL0Z1E0XHBVVFOc5rv2fDqKu9axLljv44qi6PQ9dUObRzrjkMVV956J+j8KPX
qTXYASGWaod/fe8WMAfaf8A9+mOtFFMnMjDTFBLmgId1MoTsa68NA8AxYqRQe4lQmEM5zJ1+xGZM
zjVfQ7mfOhxB0ZqGr0UaLCvL09p19kalDkvbw60ygJgKpvNA4rjZ8ZLwaUf1jMtZ0RH9iV5rsn5v
JByeuxQHoHbEKQFm0K+iI8cUluShlD3ZVW1V7taplPDY2KFjd3Vp6ygnVV9jNuvq1bvyyybaB12J
2Z4KCFCKwIm1PYkqsEBoWCRstv29LGAV01g+nPT5YivMdmapvM+DdlDLZhXuo/ASrD/kfOkceeTJ
NTacLgl0Ge1Os97cxJPGlsRHKvEGpqA32peVCPTLGjRanHsHrmg/2nitrgLDzVNUh/GXeClVmaUB
Fu9+0gslxZisFQ5+Cmq1A5krR/AYZVEFVf/SWIvOoub1/DjGiX3tBkGOM7W8LFIJTBLgfInPiTGX
LXs9zBi5lo5E96OJg6fAQK+X2cQb09wEji7FHKq6Og5LGGIWgnIvvK08yp6132+Ls6778UCbUYx3
i4tMCrYPkhRYgyCF27Vg3gJ4QjR7ho8OqxuAlRx20C8v7ckA7w5hQ4F45SFMNYtOS1TbCdSJ2ZpP
4Za7WHrJUrRW4avbdtPuLqEy68GXdPvx26Fb1CccV6eCSxSDVbuf+hinCpydXHMmZ9w6XcNlda8H
ilt+mNAVcLyGmhoaLW77IHIDplwQ2bjcdlimG+WJDmYSf+qX/YIHkZDCzX24FQ3cTBjxAxSQhQVb
n2y0ei5Dws7pXAHPS0UssS4cT75YTXAYy1C7B2IWf7yCyy6sr1qQsfVjit3iMGo/uPSM9y+AjpPN
rSOq8NymnEHRK1o+79xAeyi/qCOHLsRpzcGKuK+ykfHdMo1+e+x9N8uPNlEwK6nSU29uZVsNqWDa
2mEOSEkB6lSM+y5R7KPnA2xRtuPQd0coc26w4qFqzXjF1MbNxOEQcpS9GELKWYTseahhzyuaUOM2
WYHwsFOk26D/rlCQ3TkNsKQKu1XsooZ7roe2dJ0LbDK2vwqGKUzykjVmxk5LZh+td19/hgmPPXkO
bfp5ZWYIvhmovsZMBQGFMsqG+KhFBWLNIwuz2wkSVQHrg2TJfgUyYm7AiDWP9TyCqqXjMVILPGer
TXBxpA8gBPoB2bY3Olmia88ACC9Er9V8xR2opjyNRyWe0ImM33ymUUZQOsc5kwIahIzZGYIJXbr+
seF9UH0K2pWkEIujA3MfOkM8QJz9WA6FoJ7kZ6/s7KvgvjeDFRpho6yYH9wvo1euh2GC+qAABIJF
Wm2I190imzW+qKRrgAB2s5/cRIGIltyhuxkLKzpcNZvqisP9RmHCTMexgUONLFBLNGE6HNYUIqpM
RgunO1c6H6RYNyb9Rxu74KkWA9Yadjr2jLUOTEMzHaDAhh2r96kSiYVq5AVyPJsGmZQz/RCHurc7
G3MT3URlk84PfQmjHjZ3rOiiqwiuJgYHt1xXxMj2mg6dIHfhAiT2BNkAw+9aFo/fyMHr7E6NJWoG
urHJ3DRNieMfmOT7UaRS7Ozi+yfXR7jvHRRAgJtLQW9+dKX/3Qqwm+rr0I7tm/nZrfLerPK///0s
LTEmiX/Ob20PDHwPv/zip97e8yuYApVYjBl3e5J0AKvh5oT/DUzZHpgGasuPKPT++ONvKjHYVuAd
RjoG+CsEnaAo/K4SS/9BAuInKUkZRngYUv4OmAIh2E+DHT4AaA46DEZomGKA/uPIYQZb6yasl9vO
lF7WpWZHy2Fr7kVeh87s4Jlqn6o5aG5DNIyP41QOR88PpuO0lgHUkdBesLY0WR+RCwFGUqBXwL1H
6+9kTebcwPh2Jfr5FW0YBNsOuLTsm+WOcQ4fs9I0Z1PZPkUjnAf+RCGgYru5Eu2t4hvzgB3oARwD
oEo49Qo+l/AoB8EHNE3NsWnIdKgZ6nc8nYhLn3g/DXvscyGa5a66bapF5VHCPnt+Yo/Mps96DasP
fWTbGxE6vTcr5LOe1Av0UQ123iAtsScZduxBsdxyGwIeRwd2tB1lu4YTduw0JPic00/tCPQ/6moo
4iZ1PUHLJZn3YmPo4QwUwKxFexiL7owRqJCU+0XI5zNu6CtoHp5xNm/ggAERb9rNkQMprJbiczxH
X5YETTNosY+8lx+HWDdFJzhmNF49mmhsMtJ4oAF1QPOE86Nc5/7oJeo74aLJYPI9JwOgfrNCIsfi
ut4bL+Z7UVo/0/H6ggtdo+3sHluvvESNe03X6khKCGWijnwr3XjnjXq+lmk6ZADS/aK36YVg1wNv
v17iFpfUgFTqnYUgibyGZPi4WvkV1RqqIyHOslluE8BxkLYEBtSQP6IlDE/bU9jBuC/jznJ2C/W3
yUMVQYSXXMOFnRYtJSXwYfHS8fUeydtXEBnB+rygI0S7zjKsjyVP0l6mt8T5NXnFjh67EzUQCVLB
r7wyWqHKCQa+a2LoMwSNv3sjXClTGmHGdyBJ4dctWR1DeNPAnwIZH42hlwtVcE3QyGfNPNdZ6Qdi
x+MU/Gcsi7QPUqgN1vBhiOEmmdNB5xGXX/uwizInKldUygGmrhlMthIueLniJFdjefIcGhkeg7Cw
uMFzHyuV8O6h0XrBykYjlrLNjKP8Jy3KETA7bMutXrIhxjBOWaJ2YWlhXvfROLnyu3PhsfLS+CTj
+GkwJYR3GspvSXLgRZdojJuTjeIkU3ZCH4AtBLN1dEsNpM9LOhjwy1WyXwY4hLF756WJr/3KdjnT
juW+F5+HZqrOgWuv+qgJTn1b4SoZljfk04gJzbN8b1e67CPwwqYHPp8zBW8+vNgZpCK7tG9eRRPv
07bDrY7bpOvoghOrPndiPC/UdifpUbg9qyC4FRYm/HLyxAN0FvysI6h1prS8zL3XZjVLitBh82v0
jHU+Q/lVdsu9wxiIWbKTaN7XNJvCsDz6vYmKdGyjg+MlA3bUjyBW9RUXPsUuO5HzmPD13NeBd4ja
3i/avgMsDAnNKt3Z8/kniO2x49YVEhdA+Z68KmK5kN3ZIzbnC3r5pO5eelrzt1GrHRO4je9pXX9f
69WgxWcEOrv/kV3232//3JC4f75/Xn+R3/+8f27v+W3/ROTylvEH0UUEuHrTS/+2f0JlzcDQx4ja
2FQeeOl3aUgMhBdOUooXwWPgA393k6ATimG5psCJ/Y3d+BtuEtAYf9o/E+SK4v/Dxo19/mdrNUhU
7Na9jm/l3KAWcdWXj8sCoeYxCSt5sHA1ZI6CG+7TeAfirTlFQ2zzePLioyyBzykXqhuLqAOZ1Q0M
cssE7T80knVGUJ/SrVDZrWRJmPS8rYjRrZwtjb/HaALFE5QjbE2/x+jcAd1bvit/1MMElVEv9gpF
f++ls0CzXE8PCLiA929JPjcLhJRjLVhhg/rQYN5ZSXewIX/oAz3t/MStuzGEyV+r4WiAbbORfafl
dF+R9Hbt0xN6iccq3QwT4yePp92VLlFDBLJARFSdAmY/NYbnqSceVRh/AJyyZOhoBEB50j0GI39B
Y3AiaVfUfvlCGB7bIgg01nNfZtLMmOC27JAK0xKG+Dkfhm5DvNhVTwRa9SG8kmNz6dG4QIDDb3oV
fQFueoud783gRGfMtPnaWpSOsjsrKmmuAN/FQFR9tyLVJKQZW6Eek2H9gXYEEAx157X0PqWDuHc2
QrKKqU8Th1Gmp+NaMAfrXooq3QVlkte2PYa2f5GOH2QLgXJMhnXPHWZ23omvI7iS3HVBvNOBO0B+
c2442hSYJi+6i8KdNZggq2F47koRFWR4mxLnHxOZsKLEvp/xGJgLDd68ZazgCQFW2Uw9BK8VUilo
/5QOqXftseYIycx9g+mUzUBDoxnIv+kAonMNEaTP3Wc4hs4pj77ReCQwj9YMUpn1JRq6c8yjz4u/
3vep9zQPwYvtym3LF29Ii3F7xGKAyh7ri6LuKMeFZUMUjEhasN+xebWZF8QcvmW+r8PpqxODzeC4
39NZfsX8jtfrYRNQVMn4OoPRuF7iGN2JmhZ+MLBkNRiNXHTA70+OygUL6nxcTSyf1eDQ/6XUg3EI
1WAHZ4VmkEHhzXI740B+ZFaViAhAgtKeeX4F54L0eK47IY5u9m9X3Az3Lq3pAX4isN/YHbPFhmdC
aoLdm2Wkx3vWqvNuaw6dLF38FjP1DC9q3BOZycD5BdJflpOiXpzF2A3PabqsBzrHFpLOymDrtxy2
sHlvjfqa+vy2nxE8gyJ1Q6YecBxj926k0LM39aVPOrijgo82jd3jgFn3RQeI+gh7TJEkWOA/Hboi
NViQsATIQgPYnCOA9bBnkYwEuGdBqGLdhMwDNgcJa2DBM6ooQhoJmEXquRsZzkDQdJhN4IayqYEo
C2ay12HyDgGBY2smw0knExyUcXqGKD4+BxwK2LYDpw5caPgc0h52ZZ3aYoI2PYuq3mRa0GZXqaHb
g1FT+YpW8GsfhJ+AR5Z7NuLv2sGmB70i00XKJj60CgKE0av9wyyhTw3C7fqWsGisUXnVM3EAanap
cEdB4DudayhmhcWvRvuxD3h7BeTtUKnSFC1rxqxehxsCl0W+CHi8STrhCq0N8nXk3tTC7ZVW9yKu
IsjnKMvbNL5KYRKD3tU/VLF88efhMHnj4yqhyW0aiHAAPBUY2W/GaeB7N2GwqehwKLvumEzjGycA
22NsHjuIanDDyiYLb9JFPamxbq6ZmO8gWR6zNoK8Q7UQqXFotuLafHSJRlRQdzWV6fcFiGzWtOps
pF0KHiwHmkSP/+kQflGQ/qVg4dB81/rPLYKPN/3WIgR4SAe2/4jiaUvhH41YiPaG8gD/IP5rc2K9
bxEg6QSt/at8FC/92iKw7Rk++Cz8B3kpiKD5Oy0CWpWfWwQ0Lhiy8ZmwfaEX/2nEBghHw2VKGRwP
g8vqOFi7w0Baru+Jp0VYxAIgz2d0EsM9aUpMcWpGqV9ndp3U7HrQTOadkq+4tc4O/o85NFjHUQTR
TEcazLgDWU96IX0xzexepvZtg4lyOsDeP4UHj4YIioI1I+4PPu8OqSaXpfOOXtW8xsOCOaJur3lt
72VYYY4xw46jMlMfqvm6xg042LxiLfD32h3gjriEq7+rQpBXVsTNfvLd0QXzkGkveK1VkC1w35+G
lH7qInpaB/u108tNyoB8FiV+2wtDYIKBDB2UZPt9cOlOgvFA9w/fh/Tb/naF7gsBRxrkY3DsDTxT
splza/w6k8Qbik5RffJhwCom7fm7sV0/KoAHoN9BKNZjmA0yGooQ7hARhYeaTHw/SAKV6MBpUdvg
SyqRpDQiK6uPKDKp2ulFLeXnqa4fhW5vAYIibU2V8V6NMO1qX59shTgAVo0LhkkV73wbzTDKpe2h
EzPZTaCLchC6CINy9yqWp5H3gOjD+ptTcwrPBRhmEHrQjSJfiXD3RYcT9psgeDOhdw7gvLPGXdeY
rDCimhosFNUAKyZ73cIvunOR52VLYq5X2XxXnrafcD2vTPx5VcA54Ruem+au6eszEg0eLTIDcpjF
6hF05aZh90I9rQX2TWjbAY9uQvfgh+p94TE9NWMaeXDXQrGPkX+BG7hnNyH1xJnKdj4gaKKFjafu
sCf6yKWAiZY9lrLEXt382Lf7dk2O87aZQ5kYNTvM+PyAURIbNtVDeE2bZvqYtkl6REaI/4vy4r8b
lvx3G5i2Bzb/1cD0fxokAn378nNB/OVt7woigg6T/5fDCAjj3cyEcYqiHMJ18nOKDh5thnpIII5A
Kf3jzIRk/RhFFE8c/qXG/r2C+GdnKtogPIIcJAY4TuQx/iQmSRcstCkV020NH9k5bVh0M+jlKtVN
j8FoeE5gg+trI4+6pc36XbRj791PzgEIWKscfGZzzwQsaUa6e8Ojczuqdt838KIHq4MQSWLwh58x
Aq4l9hx60hPYbh+9OTSI4CO4yNnc672iXTM9Ot69MBh1ELZHQVCCckTARjhG53nx1nOM8iXK3KWu
gmlW7lxYQu7uDW+c6RUaKL88ONSQTASSbXFx83PH0vQK3a+8SYmG2KB67CYi0Ogp5++7IK1284DC
RWemdy1ZEbbTQEgZJtAbDzCfSTqYoudBHpvQ7OOlu8BxNaORaxlc8+uSeaUBhym0PQ52vATjyHKj
+5cBgnQX2EIgNCAcwxs/4ld2NQjKqLsJbbPrIZJNc2SLwWOOsE6EAHmwpw+Gv5W2TT67tZ7LfQ9D
TwYRBvhxMQZHNkwPQpLHFAV5OnWJ8Mx9FWC2hYwi171Ijn3sRv2YGB8aajGVdM4ILaMDCSDbhDMt
fkO9sCfEtkyHSUu5W5W+c/V4SaLurBtx6f3wKjXeHrrcs6eSXbuC20Aj7dfwJlfdN6vDh8qwl//0
Uj96qS1R45+jLTdf8IyVn0tHDDvTu15qg1vo1rCkW+bq9tJ7uCVEE4N8GwzIwdaB/Qq3gJPY7mMI
IGGS+QWk+bWXov/48cQNxHOhRQP98be0n8BOfu6lIDFlmzQi2o4CH/hHuiJFKFeSeP56S5R47uGr
xV7kNNwbfb8LVsQC9ckhgK0kdh4yS9mzah3mtQl+ScWSpzqFaL01J1XXRT+nJfSJVGHIrABNfmha
FhRt6N9zD5lVxlacwbRQe6/QtyigfgGZxRUtZ9AbsfZhp2hofRxhSCzUVE/3Pqa2XTslj1YiQSSd
3S1sQOiHNNl1YkUE5dI+Oec9I2PnA2kh4PLhUc39wZ4Sz8ExkJ4hdd+BUP46rEjlkNpmHHaPrg7v
WOo9h/Ood5CGwRho5M3cIRx1KvWbGyCKFrAQIaGH78JBkSIOl1vQv1/6poYDZCbItmvFN+id1p3x
yzFnS1pw39i8a0WwlzShoCK8yJ3s0no55turYKK3MMbniAy8WqcNw4bUbFYQUwbhfAWtyUfhsxcv
oi3MkIj2AaljYvUsK+i/hnr9AFJpP09BdwlKmMG79g1GHlS96oFN3VbK1HXH1SlQ7lmO05XXzm/+
ECPrxHMUcaIE8UQVhjcP8jwQHvLYj14HIyHkPa4NdyV6zxzqu/Q2dJ3LV9fLfDbw6sBOhHAxtJdt
DZO38p0HSQaECnqBnh8E3FfhADoTQDKmRMs5LkGu0/DEEnKcpuG2bADxE4AKN6If+g7OdxAzBxM3
6MziBjocM+TjGENCIVVGWrhohYYn1i9fJUFv2ixeFk3LrtbLF560QLYnOLCRUQBXtkWvjOFaEO+L
P/A6H2bYwQNA+AFANSdlegMwcy5Sf5z24SQSuLDIsUOE56NA8tIFxBuGZDBIMA3DVbUO01HMC1Jq
kiZC2hvdpUoFB+1VZt9g/V+mKj1QLzoBF3/24/joT+GznU2QczH6OzOGwQXYQH3d6RYoPtTWhYjV
ihSIGpGjyybeibxtWwv8S7eQ8L4KW3qs5HxgSBwDwnhWcoT8og+/pCSJAce46hZPYLLwvUV7l6r9
ZEa7C6Aty2OrX93Y7sO5+tRyDBHMQKQGs1ReN665jaIEZPe/0gJvNeB3rSqcbj7aG8QrQ+wJDiTd
MgTfqyg7smBm8Fhw2ygIv78hEMeq07u6effLh/2vfxon/eMr2JYPCs03KiGUsX/8CtfxZayrJLqV
4+sk71z3pNl/HKO/sOM+5uN/vkfhnpjGP/W32zV9t0nhUTAwYyJP/NeglN83KTxUAJcHzDnSGYEG
4ML8ukmxf6CvxUtQQMUY/Tek/tdNaqPbCVKawRVsiwa73t/gBMIfySq/L0A4FCjyQAA5AI8AiIC8
qT+uDjjQOcRVJVbH2lF3WpMWdOksiClvIdwhSt14EIoiRpg2uTeJRxfxCAae/8veefRGkhzq9q9c
vH0O0pvF3VRleZoqkk23SZBsMjPS20jz6++JHs2oRxoJmLceCBAkdLMdqyojPnM+uw65HOorJGZq
L3mTbYagt8POKfS9zq0u9CerXQ+yejPmhU9nR7xBtpjCwiJo33buKecGt26i9Jw2pFViFLW6ADct
fRIz/rzQGArcLgQuFREqzSSN7UJukhZ2QuL2p6GEokJZ6kkaLjJ/uXPzgo+wKSzlskMXHOkMFTpa
bHUBUPxYudWhUwqryOFbm/TW1wEZnpVol7cgbS+ui1A2AJQBCmeeTb3Prwd7qbbE5EosTljLomu+
rCh+4+nZrwvN2/Tz5ziZTkhKdyM1Cz+3KK8n036qyxh8oD/WextDDsEDBzOraaJZFeCoBXlhbcjp
ZC0i3Zjt8omruB0qecKG2Bm4l0xM7jqr27QEaSHMEEsA1MTHsPXZ08bLRhh4AcrpYl2VM305iuuq
G8uJ1ut57okHf6Cbluf1vqDhMFXpQ44kSz/zUrf6KdGGNYIL6S6nuEi+pUNhk8ifRFvues3wt75b
Hw2neC+7BJSkF13pSDtkLXGUf8g9vlJ+jEmvo9e0zWNz0/0Qh7Sln+tdAbMWZCX3Z07oiOsAuD9M
5PZJ6e4CAT7oEqpRQbwelTYvEOmbH2q90u0LOe37Obmxy8jfaOM0bxtE/lFzAUT78wv85Yd+mS6G
NF4tbAEde0Aon8BVjoGHdSDM6TgqLyFPMCa4rZGBp1/pK8fBoR6YYkEQRNsjNmlXJMMfZuVScK0C
Mhr7t5FyMIBSfdl8CA9Jz5NUuRy98jsW78tIK5tYZf8olSNSKG8kxyTJlFviYJu05L14eIMFUY6K
ViUfcdYsZAnmZeuPkE8pCe9MrXsR2AOVcmZK5dGQcaWiiGvTK//GID82KUfHb7XzjMXT9jolajyf
FPPHiZKYhCx+UBcBX8QgIhG2z5Vj5PbVsXSwnxPyu4NylRI3++qwmWrsJtlFV27O4Sub0xu6E6da
OVMuFlVJ2HjFMUZSlfXoQ+JjpcrRaiaCZL1yuUzsrjLzXyBibIocSjx2mKV8sUWjuK0pDgR01W8o
MfcTiAkdM61RrlqNvbZMzQnCfn2KMN5cyEvUU+411z0kGHMamPNEdz9re7kpMO4wp4b1ory8Wrl6
ZPXvpKx2CG37eBC7Vvl/mXICefe4rx3mIMLVcBf98AsxDgsMRFflLP6+fv0qZfNJ/58fbaS2+89/
v36pw8NPyo2OykLZSrdgkLscXX6/fpmQkZXGzX94Vqnd0n882WCKGSiv3It+ZRy73Mx+e7KpqSxH
yS2OY3nc2ey/8mSzaOr9fLT68WQzKN75/OmQiagC/fHJJuupIz6fWLfdZOvrZZKHcba5eQEXw8Rq
tpVlUgHu5yfKmlbYxfZHa/lXPWDO0FEJ2XRCHOhb0CQjNWbUVZ6EOsX/pR7CqZM3U8sDii2Bal1V
w/sclC+JAOdf5HeZne7oiB4Btt81NYDktKFtHKDUIJuYVyXbBSuKut+6LKjWeVBAlBmjb0uVPjkE
84HVAmJwp+LWia1bY3Q3AWq6lzfEahbrsEioC0Nm+muZTDtKfBvTr79Qj+6GMXaOZRztwHy/+7iH
Qbc8TuhNq8zkUmgRgl+5YIpCtcahT2S/vDp5HI3hNZskCxJZsjeHqlzVHWJzkdCm6IHVrkVt3VA0
PuYZ8YCxbb8amXBX1Cpws7l/q8y39Rg3t6kj6+NU4PEPAmSyV3CxyJKWR60eRzedWynA/7C4xO+W
L99k/kDa3sciVEc8KpKLSZx1lXTtZ4JCc51W+cEJNOKkZj3vkrLzbzuO3xtmHPiuDQlKdYxpn/G2
J+JeKoaE4e6EhFPptqSB7cmLL3psGbulTmNa2fSIi1KBlMaRR09hgWOZ83RvWVO+0YRAf09ULW2h
ZAUrgpdAVZGlJsRnTDP4RLsTXKDqiHSRlW/aojd3fWWxxmClV6hMp6VPQV4Zh36OFwxJ/ytaUiAN
mNQbjfp7OBOV2BiRR/puiPONntKW5+E3I2s1wa5PXYguUzvsAgBMqNstPTNC/HcgFv3dUDvJhuxl
utf1KAoljLNVZ1naJWdFZlUs/E2byeV64uru1o+1nofN6K/mKq43ADRU1jcTR6frxh0kO3YluvMw
6CWoBn8G/Fa/VzlTEiJxqaM0gX2sA9CTMZei1byofyJhlq9j56TfSnoQjHPAnJsVfc7E211xLDBI
yoHGSRSlTvDvjhGjDXt/xJ5IRnukrQHYLlOEO12x7mRcaHu9T7eDkyujBUQxiehVoRh5NGeKlW+n
AIlgV4StYum5iqq3wLdLwey5Y5FtSHso/pqZ39CkIiuRNV99ubz3+NDbvjYGeHt5ey0ITq+tyQ3z
tnEP7jzyFNQ8ufOj0r4zwf/hFfUa9CoFBUx+AAIFqMCRP5W3aHgcCZnJzk+anSbmB0MbDU4ysbvm
SHQsFX1wVBzCAFuEa8LMYxxEOi2WjVDUQs3mCAvGUCqfAxn3ocD48NLyPHrdWtO86855jbBHhsqV
zzDFP0eMk0k5KKXyUnzlqgw//BXltAjlucSZfmXyuyXgkqS0v0gZgmdY8mt9BPknA+9xUQ6OSAmf
9V3xvfMoDtIrOlTYPUhUV5zCKbUpJ6hUnlAmDIoUMnHCaYbsIJV31PLTS+UmeZ0F0kI5TEZT3A5a
fJ9jPelYUJhlfArqtQw97CmBTTVlrgt1HedKdlW8NQYDKdmiWIm7BbIMGLtyvHKsL87FTwMbFiF3
/nMweT7uFB6Z7zj8TOWbDcpBq7HShlTfk0cnRmJH21S5bdzHcSSVA6dNQdhP7WenvDlHipBKmPuC
els4G+KJ16XZf1RYeuXgPOMvOgeB2Ze2yzvlOSpirCrxl863CeoMlYMlzF3vJsEyTJR3aGIiEpCF
JFgZe61xUREajl/4jZoYLypCm5sdGHQsyd6HaIFFaWBVanazi6mG8T1dT7nB/3feEl+IdQfqoRMe
xtfYgxGbD706cg/qOmVnF+o8Gs8CwGTWfEp6kDGc1gGuPOSc3hMXuKM6zg+c64FlrOlS4F5Gnbcq
OPtH1BXRLZBiYHFxN0D3/IwGjuA8x7R51/lm5wOVhyQXu+WdTorl77PRP679SLn/+WwEl+BNfrZv
3Z+cj/jC389HAKQhRzPlQNub/+J88vv5SP8lYNWD3S0DdssPl/23m79PBJ8v0un+Ul3+A1saeVod
ZVADSMAr2+svnY/+PQ3oIyEEPBKw0kwUon9xtsrY50Ei/epW1/N4zxV8l8TcULmwngZPztgvZnc1
DWa1s/QFQvk0nMsUDKtVFu8tkMyw07o9BHZnE1jtvI5H11qldtKseTgvq5Q4NRqwD3WucZeQC11x
buLgKXEWIPatZa0JdZ0ooF3hx+79KuCRqyW7Zq6fIj8mEdf410s7Y/tUmdwPeX+MixRAje0cF1+A
MLS9a2BbYGKxjHrhX4LRy8KyFZdeb99Mx+bm58SPsgA3NNIHR1r15DqTy7Vbek9TRFHOsKznIK+e
3Emegsy4Gr38QXOK657LO9Z08q1sIZhoBt3WaDx5oGLLMiUFpL2YpHGxzre9zmBB19ZXtVc902e4
ASGHxO1MOzmBp+dFAWEVsHw55dyVvH4j3CVZ4QnmodVOLom/Zt74fjlspFRs27S4bVEV6Npa+yoh
Hs+mwc2YQz6Jl9HYOVm/Td2GqQZJZD8zyrVmLmcrcj/Mvn7IhnlLsQfBNy7Pk+0CJCoOgp4c1Mbu
7A7et6SJYrgv87Mr8B8ViSnkFA/OroSRZ0FoQtPxOPIul3Yqva2R5MfJAGKk1s/83vzmJq1BL8yM
oN4Gt6n0zJs88vaTH983N3ZycNnHoFN9cuc0XbObuxWeJHDW0IHql3TTE1+jE+U/Jy6nHSJoJjkk
sQNkXq6yovpA3q/CtCdSajYG8jANJ7WP1c97AagKonf63rbWJ2TCT07k8T5u7BvVDpskKYZZl5B+
59x+tJyMIuzs89iJxLoqm2PhuIfcMahcJtvWjxlXoI27mafJXJuxO+/8H+Dr0hn6zSi1i6jH78GS
je3a0TFYdZYqlsbu8Fubo6015pqJon3gkmmpzAi0FUZPyHLo3lQDGKx/vdETfRB6FcqOCTZl5vLS
5XUUPFUWSKFETWlw9Gs2IognKhcDZjFdKB7ljG+g9pCmdfK7QMK7AP+p4JiHMnCvItkZq0KNeOQx
03uelw8bn9GVraXGPlze6VtNDYDoFM5Os1leIrZBLDUS0rMWQtJeJ5xBxq5GCVsl/UihbmHzwQb+
GmNS0SOhH11MZF+T+hx5zlVSsMlVq5kSl72SvHRfe/ZLuuoibBuEWuuffb+IDpNb3UxRjuTG/Elg
Vt8pfxBFZRilsIt64xFgCbVJy8Ja7aeMTgPtonHiMFm0HfMW6fJqqsGVFnbcoYNuJKpmRhnkZSCL
6G1WbU9zbq4jtd1SMuIyMZ4G1VPjrJo8anH2mQ28ZWD88tpmAqYLoN6rTRhCShatufwBisBXoIZj
4onXnaW2ZCrytDbwBLb2aMnIuCmvNHNyrg1WaDR4xzeTpJVLbz7deMEShZOarRmiCL5vy5RNMspr
2Wa0LtTMTR6I+6Tl1ezYMWNwOfhPO+I7TlcX4sW8XOjPEGZZUFOI2y7rmj0dq2lJLvM7sXdGjFiT
zO7gOUdbOUNFq2gN7KEfcS2jqkK1HTR8cyls65Sz46NH+gM51CrEiDkCuzQ31rJMYtVVbZve1pPR
PmcBYtDG7UAir7shPQ2DxKTusbNMFlAidv5S0b34QZzYf1sBv54JrP8KYT8zAvBnBwL1VT8fCALi
9zZpfsoxijr0+4HA+MUmj6+oKTzjfzQH/imY2PwQEj31ACXT/1SvY7yCyWIncNRemq2yM3/BCrC8
f+WmUN1TOg5/Cp9NVPyiPwomNtCU0opmbnP5SKAFXxM4it9k12mUr+2lu6COPkXI5iZE4R0FqSdN
JJR24cE6VbwLVDtLZNO3tofyYlXI6uh3AfTeIYrXbjEdLHpVy0AiVXup4vgY0ffy41sjDdi4FPTM
qUoFPJEIjmQdXVW0wO+5HaSreXAy6qL+i0dHdeMDDuQW3r8sFX03E+ndcuRZjL21aTAW+XH9tMhp
VrrmtWJDwTjKH0uNj1mgv5+iBoy9mN99rWbsZsiAmZvTfeFPHPsn+2Wctad2wevj04FdJBeZZYHE
587zifP6nWsQ2plKLMgpSkMPg5//0X05ERBFueCHSwQDE+uXG4NYUW8wQ4gNJOIr60PPnp35nNDY
X3X6Wjhjuyc0qa4MBBlHC3WKh7o+0bBLLKsPa2seD21n9cGbIexIQplviz1GLpGgqcz22L8Nq1uA
+Xp7qjd6hMhO62PiduznW32eGR40JU9sV6CAz/HYX5K5QblZ8vYioVChK8iGayvQZlNR5jv1iEga
1JKizFjQaNznamHPaxyycWO3Npc1Bbvvh4SoelABkAgiZ+d643zhtQnYjjtbmI5yneC3HIMc4GSU
2eI6cvQ0HIOhOyax9HZTC52utLkzhw0rVGjIFspwNnyZQeXvWCsd1k0GoxSu4rvs+faZfoDHokQP
o+HjFi5Tted0/MklzeEYAYukrHmptpADcn3o1hQa87NvxdD3+ABcZdosNgFY+Z2do/pksnN2XOo/
i8kIdjAuklUDUuMMEjk+8i/H0TUayze/othnzkLfR8ST+IZpaICIViuLVGIbQkBikqTVyvcaIg/j
ReSiOqcjwuRr7Wn0qvEUj0O7A5UFO1NF4+vezTd88yAVd84XbREiX3PyZWi2tQPjrCWMbxUWJdEa
Uh/h3HdA3kyboIwhjyCdxEWLdFbbkuLFaGj8KUt2liAzv/OeAxmTmvp+XOgbbJLUX/TNZPnTNpBO
m37lJEv2vmGYF1r7Da6B1536aNHbk1WLdQvOnpEmHCwdwj2jVtm2Ano/a/g0+kJdtgrGatMlRElk
96LFzVOumPkkLElwwYzdSEXUT3XY+t6cPtLBxdODuk9BDm9BkfhniJLk20D7LJRyFKrfcSGMVArf
HwzuZwLPf9AhnyjA/wTpf0xB/juw/y0tPeY28Bp39HaWmgfA51MfIsE1/xSHgQWBivepNvC66Av/
gQ7VuWFrACPGQ0ipbjzd/jBZI5C5Romhnc790voHn8WCiuWCDqY1ybCIUxpReyq5yBWoXiIS4MJB
+LErMNmAcUsA5N269ZO7mPQHs1WkUAY1neDoy9sE+mJF9msPGvCYsbLgW+O1RsY5nNUAw6SmGEpe
bApgU67sMhDv7K2Vr27Wp/vYkgIKA62HSSlvyO0OuMiqowRRvAedw2eWPpQb12rObJPdu0rDS5Wa
F5foepNS+DKl9XlK9Zu13t3WSgmMqjG+FEod7Hi7XAb15lmUdtiq37RXemIaiWCnd7W4y5XaiFgA
pkgpkJ3SIjVnCna10icXpVSmPzRLpV6qyhfkGBRNobTNQKmcbut8AaRZwsxeDpxfbnUE0QJh1BlQ
bK1RN3eWUk0tpZ+CtxNbeq9oqkpdtZXOairFNYUfJJQGGyk11lS6rJ/yp02UVmsq1TZX+q2bwE6Y
laarN5GxY2AmvjhK8SVnwq1CqcDQYPGxlDLcKI24LHKOsEo3/tsa+tUaIqXyX+QPJNX27X9gEvV/
ln3ga38/8MAT4MxCA8YwDFygnxUQeAL0HFAz0Ec4DP0hoGcoQ4lTjekBHPg5++D9wkEIACS5vv+P
7MOP5Msfsw8KTqcOV9yOCOr9iwISFN4SsFYtb3MpwGit26aCUjoZ9rHEjOHd7xbf5jTmIjlpV37J
dSJ1CqIIMNoTAv3k01MGmvtT5k/3Up+u5ghYcZ249MBHH1SKWCBQ9Y9jMd94hXVwBH14tpo4VHUc
09lMqAd3PbHSJRauTwUaPGkMaKZeAEXfsr4sP+7X44+IqcjAbwvL3ICw5jTh21vS7j6mPBImrvrL
7NJl73J73qCSFqHe1g+2OwDJHzSTUwXj6vWir+exB5vf0FEso6ecEfXedFm+7LrQEeO7O1DrjJoi
dAzvg3U7OL+ueHah3fDuoQA5+VjLPIlgOj27sb3zvZo362hximu1ldUVvI+lE8rK33cTsejZRm3F
kXmfq+i96KdbvWJCAhHjReiBWBd2tsuy6YB1wBL6xCBMK5Fd/bj+Huvsa0xG+VzzLOc+imLN6s6n
G5nLTZfNb6J2ohNqNlA5x6Q1FbsbrfSNOxPnKrRBknG6ws+uyBXsxjE7GU4jue0gO6H+tv0WNB6t
dU9wT/OqbT5b+jqHULbxEy5dcbAwxWWW3fWs+1OY4efTGRd1GOXavO55Na/aLkswjcCmzbqINqXe
iRMX/nzHM7G/Nx25PDJ0CmVYBzVE+1O/ZgaSebYxy16qlklCpHb3GXmguOtaozkn9G8PPo+nqyaI
uLTOeXUEBdTigth2esV5pFYkrOlqaJcchm9Bkm/yqdrTT9SaQ2nqBBtJhCYqG8rJz5a7yDfdV42j
9ZftIxQUKkZNe2PYgExYz4UJYVSFraWKXXctjCly2NT7+FcfYSnEVx05bV0FtrVmuGlVhDtSYW5P
l7DYVcDbU1FvDp43tgp/N4UOLVHFwcmFg1BjqUhFxUsVGndVfHyxMyOsVKTcU+Hy6kfO3BT33q/B
cyLolQqjY47JxwAQ28ElfLVKVGhd84mvd+TYJxVoh9MVTiri/veH+a8f5lwz//OH+RaXpPwTLIzO
V/32MW4QmXZ1YBdsHngWBJif7q0I2YQ2GDVwdX6Gwu/+JmR7v/D/SakZ1o9w9s+MXYf2Bgq253ik
EdXV9a/cW71/j7Cp50HA1rJncBemRP/He2tWYINOfeTdEOE5xn0jy+t+NGe6z4Wsa3BrYlh2TPp0
wPOKeHqsgCTMYRXQxYW6nrxMVncPL24Ok65k16UfdrwBQpbt8b700uRVm7scgtN3Cz0QookjNrPW
AYkC5UTUgdmjnAvtWNxh7D+NQ2Vklx5n/Z5jGu2oicHCCH8HUl6sC+2GBS+fg4lsMJG1+GVmVeQc
RYlwz0k+e2f6rV2ytol5WSsX2bsKnajQywcXaOE2AgM+bkgDRz0ETGrnj4NNo4xp3/EpM4OEGENW
7UWSpvPe1Ntr6HbHcXDu6FAzw+SVj/qSPww23lyV1B+m0tHdZOCzmapK26fgwq33RFG+Ws2+cQcT
aXx6HBLhgHykxy21UCsgbMdKPrbr2gj9eUTUKj17wwyXGivy14WbIeg595T7WG2Buztr4rsZeA/F
YH/qNhH0ruAfxfH7i2cpNAfy7Z7bL85bXGevswWWLBvFXl+CMWy4Dq6K3H9ocsPcVmVGfN7qaZml
5j5h77GUsg2LURyshGCzU5CegO+m7tdZuTFZIdpk+nwkQXyJzIF6sJXwmWSb+yqbDRTqjBzwPJmH
WRogAQf9u87Ckz90BXRGJ0Ka7XZE7t/ipDq5gXfqLMJ7gAR42C3BPRsvch0AVZsi7bsTLNtcnw6M
St7QSYQpFrVh3VI6K0r1CRvVX31FW9wVLFfRw/sYkwDGylw+85LuSVlJb++qZQ1eXhe04Z6LZHXT
I5UwyxCdwU1enJixXkar7qJaQ4wEWL/Sp5atJa5lKskRJk71PKQmgJu4P/Z8B3sy2pRkxG5ycGRc
vak2S2kfCvL+U+M8GV1/E/TiIe1B3Qq9eyzi5E7R5xB9h50Ru9oBJroFA669m73oAZv5sjQDbxGD
pyEFnpiqoZi5VkXnIVr2cx5pnBK0j7bRklC36ww8DQ7KYgQ5bhIngtjpODXodghsbzlWtXebwkvc
Uowm4T+U1rqQucIzjVe4G98pGx3F4LMi2olrKCccJnTvRD3H2OmBugSQIDV4A4S2kb61ej1u56C/
DVr7WWqJvuatLlfpXLjrZLC+IOAs4Ieru2EB/zJ4JCepD3me4pKWzG71mfxmjku512xenZFaTOhy
8ZnP5gJ73nt2RueeePV0kFVG9KA1D+R2rdDy/atEElNx2f1d6xTet2OT3orYZVI1uytyeRMnvLbH
xGM6PWUqsAjOZlw2WzdnrmOsRytsWsSqpnQfRoOjmd7qX5Fpv+pW/kF0/NCMFhj9uGeuQzM/7U57
7FSZvCiKx2LszY0Z0Aube2Mn3OKlmu2To1WzI1WykGKYZ0/uxUr92iPCqs+ggZt3ayTobzqMcKpl
8sFprl1t6jdLxniJXN5by3xp/MDaB7qCSATeeRlkGfp9gs3RcrnE72TqLJk/GDfuDrrX00bt8aFr
Pd/PejWjt2Upn7XWa02zvC+AQY4g4MgFRGMI5jHlqleXbF3rNxLnZZM51qdckP5Kh+GG1JShZLZs
n2UlpAXNZjsKTCv3YAZRSJN8aJJ3stGxwKpHo3MjJofJ7K6ZQl8zk9Aym7uxZB9g9vHbDECEmYBm
ZPmCuS9rDoXDIt2cJvV14Y2HuYhei3Iil6zZxYYEd7yaAHys6zb9cL2SkZMoXTZOGW1j25r3btk2
h6q2txnmXJh4br71fWQuPg+XXZk2r63vQNLUSAJEu4pFjEuigXp1KhEwIQ3aKgDStZ20kmysM0cX
tzSZNGtgGcXWFQduHMUi9XcdoIaQ4I++juQ8H5Nh+M7eG5uB4AePZs0ko4OSQhoyLtEDy+XbMhZ8
b5Autw7e6UpjO2MVg+tcOb08wJ+kO2z4hFEdEIh5cIyC5aSJpQDACf0iyvD7iog9PO/e1zz3auka
bIkBp3KQ87kekofSXGYeiEa+rS1mDoZEa9ep1X+4DdehAjF5N/k9JDWD+woL47SP8+TcC/NcojKF
WSXkrq6XE6HyKzbqQ4KxZ8kZemOlja4QUkSXvPYmcNIPH3M57yLOmF5AbQlAfphDfqosf95wqpTr
eKFWruvjozFkb1WmnfNW3GcxYBOqD+4mbQ0Gsuz6MyezGxe6ve0tm8S5sPklyTGFY66/1HBzV3IQ
N1EwYHwaugzHpo3WVZSdSp8Eezql8WOTQJYYoxcXcuPK5K0LlveL4NeLYzFkl/Q3teSlbMPWiBwz
2ECEZbevyB+HyhcrABzYVpp2WfRaD7WchTbuLAio2SnnvrW2eaY6muQDzDAglXTkPKIrn8m+HbLu
kUxVEDYZIp9TPhVzezOVJnbyXBR0luw139Bj0xknqj7ftdr/GidEYJcmGZTpfdSln74mt91Q9bsO
gm1X86PMjj3qqQ7e+lSkCIyDhw+YUbpP38FermvWPknIeAeie+pV48frzm2PSzcyjJLx7SnYBEhZ
VpoWXs8iMoGmmPanxZj0Cu7fvUhjfjIf4BIOkGjpkqHrUGTnbbfj5PbKCewgJoqvnHRWVu8eF6cq
1gPkO7fxKZOPT4bFL15PFVfg9JQxCrWziv4DEMpT7EXEtPHkUBjxJctHym00w8p45yQGt0wfRkAm
vrXjSJS6Y4dYq5tzLYIr+q9BaOGXDxrSuAfMgEtfsSP/w+yLmW5cYyxWjHdg47EWvSW0yLTSYvFh
0bL4Ixv+an5J6YBzJ90xwRXTUqeH9uBZyXGc06/EcMQ2Hv3bGS5Rtey6IENc3bVzGRrTla9lDyib
zEPasMRRJndpKhmA9TjIWMu75Y9bd4zffVdc2SYFLC3SE75ZzVtVmXgM5giKtdZle+Lt8xDPE+ZK
7z8aNVuPLtfkjilWaG353iQpKfssjHyrvpRuW8xrvRQuRqrtGNpTIqtKX0/cZ9tjxu2OmUgB41Qi
8kptvrDd8FrqjtBCO6qYt1u8UUBRzo7VqPOnyIBN6xrc0SAmdllpW81LqX5k2rgVdhXaRTaEkaye
ySJR3vfxE+QcG7BiU7j55f1ouzQaLLJqaftkC0rLYHT4m1L/CpzgkHj2G6Xl8ySQPROPnkMi+oJt
DN4hWWYjFozSWFGlm3ic0ArOdB5sHY80vn/qe8fZfAioHATJVdMa9iqv7XDqvRvZi9tg8K6U8LMq
u/TNCGZm9ewrOtecbqr6nWcL+VhGKrPS/9YJYR/7Qf9k86/cLalOMkP6e1sOZ7Ir2C0KbM9VYsW5
ZgzdqPzejsXeomK8Jia6bBvwgHYDeT6Tm7InZuIU1bjnc/cqGK2dNzs87Ehf7gfJOzo1+Q0dFhkz
G4JMxypi2y3uipQqcF9Ou4GRvWYNMKXkNqsRZJCAYeseoAVaq8CXN3APGzqk/W3hpN9J+pILNAjr
zOKmivUbh91vqHQ3tnnrsoSlIY63rRYfpV49QTM/9Il46b3+Wx1U9CqwCWDKTq53P6Fvc+69mRvz
VdS0qTFZtlYRH5bZWw7pkL/yB/yWqOUcj7PgJulrJI9Ce7WLSj4Vi8QDadLTBIeB8WIY8XOxXI+S
wdXGNZ5rqSOTZxcYmW9Z7RMA6npeCcFL7lSQZZOngkmDv9XZX41o87+G066r79UHd3e4Uv18+P6/
/++fX/T7fT4gfQYvBpdXFaodfr2ffWhu5RY3euqQ5k8MGtvgi9ii8H6s7PzgNPwjt8+PQH4l7G/p
AexqZV7/BRv6h+j6B1EWXRh6A5Kxya9l+jQOfm5ENlUDPTxhmKUZUsffN9nIo8fxbg28wpZjjRZp
y4aD/OgS5UTUDELSlXYUzvDCEer0wujvR9eIg6+RxyoOnRW9gbBMdeK6Za6d+Et30dEg72lsYggu
8dnOShbquXYkteRCAf+GMQBnwaHKQZPjUHIQVNnWmdng9dBj6hCxnAeumaBQmmSPswCIOod9zeoh
yzL7Jm4DkPtFxzO7GfP2NsbtbJDNZtaZY1+vMCV9N9SZI9c+HXKtu7+1rB9alvFfMxg09Eiqf+//
/dWvvu63V79pMQvl6tRSeJHR8ef19furn8Uo2ikOOg62xY+oxW8pDPIZCEw0Mi0dR8IwcTl+e/kT
89QNhlr+qYH9hZc/v85PfWAHKoEJWpAiMJQUE8fkX7SsfiBtzFrGeB70I+3rdL6rul9fHbCr48/q
T/rAECn/8JvwtwDkzC07ABJC3IO/7x/fYgYTbWmadfXZGoMU8q3tdFRDEsssrXNC3A3eUOVO2WWp
hOvfqPGWZ4hEZnbxdWdeJ3oxmcjT9bqD3t8ksMFJZbgsMC/C4PK3WOt5zs8RWyl5pbHpEhCjru57
vSallxibpfHuJtHtwXwg3RdMD4jeCB27OcIQv9X87D2fszcNs3Ko6wOB72fSfxzdRHIb993GN/OD
l/CGM6b2i3MsrHcxhjmEJIqfUP61wshXsOf3jeQ8MXhAE/kUsTri0eVz7OoHmO94CkZ9bKbyk3d4
wqahvWJS8jOqyXb5BUZ1pU/UM7p2Sz3wKuq9MQRAR21oZKy69vT3qSuPNM8LhIzyQRpkWUzzWztB
EzJF/5QVc8eO9/jRufZxttty26T1dZlMYxg0gBMcETnrqGrvQWDA97WrfhPP1jUD8eypdtYlH7He
Fzk8a6mFaQAM3zFx132z/0q9hps2LXditdW5rOyTN7b2piZkucqzJt27zDytuCfG6ynFOBa1Sa1Q
Qq+16+XJgOFp8e1cVYN25zCCvCrM/GEsAtJyfvaiNa29MuHgMmqQ3uT9aKxZ8zx2Gox83QC+Z/jx
Vdx/WGm1xbdfi2I01/bUcBrPy6dooUQUNWxbV7FxbP2hDXviHovnfNQCL3acW4LF9offFcB4U/Hl
FxyVYpthnaYPIGK7X7YY12olXjQIQkaH92u2CWdpf13FxVma3buRpiyy2EiAVlYe4B2g/sh+K3y1
82ph69hdT1hF0wPyA8N5CLRvMiYTouU9rcOkVTrlfTz1TVh58bAuI1YobYLxEuLWomhQgZ/em/Qh
IfH8H3tnshw3smXbX3k/gDS0DmAaLaMPBntNYCRFoe8cPb6+FqRSSqKUkmWVvcGzdyc5uHmZHoEA
HMfP2Xttyl+3fYhVqrNwEJ+IoP5gafGk/tONldHHyPa8ID4wXpZzPwrhPljqnT+UN5lpFVtYNCc/
se1FkAcErff9hzZKuHu6Etlmx/Ww7fEpFt6taPE9tFH2ZmqdWLVSvYv9hJoUQWGvTAgev6ZXoXyq
FecJww6jbDRLtqHRge49EPyYVUSuL2sDwU8BJzpZdqYsPaAMtCdHVytvLb9DryFi7nI3ie9i4sE2
1thHZ2F0t2Wpw7wq3nhbbcK4SNDkFh8JtaAFSUNi2dR0TuIOy7UMowfTrHFLIAerxD0skn49BEO0
T3POJopykU3kTmSzpMSSkeJfbhEDKzZAE2KH8nmVEHbN8X3ug2/tc8RZ2MVhvwFmxRNT8GxO0tNj
lduPgWO9hWpfzqgcSjqg2ipNCgxvww5e1LPSN7uuDtH1Nk9+Q8I5e85FZtoSNewl14xNpykXvCsL
ofj3eiyeKni2uabu3I63ve2ciYc5jFW9Gmlmeu7wkcIcJocdLeIK5gOWjHmMStWuZI332FrJoj3a
+F9lCXERreWCjnjHRIAjWYTA3VOU01DL+zR046WnV29VHaz0sn9Qqjer4U5shb0yTLxgcw/DLbG5
XofzOGoGRVmq7WDf237br8tS6vPIR5RsOUVdHGPDeExzE8HrWC7tNiOKKInYt2ZxbhboQjADrkFn
y7mT4NJxDKAmZbWSdffYdck9GKon8niNa7WxxjMvvHIlk/K51LVNII2PveecynE4uonrT24gSiz6
OwsyxZ25EiXhKh1T99Ykg+fgp8FN6PsvdJaVeRc3yU5yKMCuX+OCyegpmnXwlOn8il1wG4Z5tHAN
Zdu01WMDw5WWkpGuPIXhdsHnw2XEu4dAFvaARkkIO6eGOymopm5FRHtuGFAV+RLwDE959eC5VUOL
xSbaK2ucRZnUC1O07VWr1d2aLgRZVGibEIGoJNwnMAGgqtIASELrqmO+fQU7j/CY+lKZyHuEto5a
EyCe4r2G6N9mo9BuQfs9Sq2/8S0pNq7ZPE5qJ4bko3f8bq72i9cuU7Lv3uyfX7pkKqDGFQ4CK0we
P750RdIUFLtlc86BkgrtFDm3gk9tMcCPzIffr/VjFTGtBVkSpgiqC+pyzZ4oj99F/VVV3td6V3Vn
x1t68X05rALl/n+3xPQRvlsC5EOSdE3SnQsezIH48KD9YBY3/4NFYCcRroNPRp+qru8XqQL0AVHW
dWdD3pb5vleOSrv5/RI//yxcqu+WeOcSrunW+ZrZd2fTuUnL1ZgCouhOmf0cDX9YiQnquxvgx5Wm
T/LdFUuC1koFsvszdPiZljGW0LcNOO0WAd12RFH6+y82ffBv56gv9wByYlh4KgIcprc/Llf7UT/K
Wuswnj1qdT+zxa0f7Ib08fMy/7+zDXmEeED/eW5+Tp5f3+TPJ43pr/4+aUwnAx2IqsDRiNeKX+jv
kwbnCfiqHLI5g3/ROH2dmwN0BfZu8tOBIALpyl99Ncg7yJ80ixQoXf+sIP9X6BeOpT/cIZ8N8hZ9
f6IOHB4tk3P7DzckAPbWrE27O9VAiNjF44e8HS72FD3NW+GUamX0Su8xo/oxbg0CGOetoXg3jt19
Yr62YihvzsYp1pocwqU6BV2nNtbmUHov0idTok8wirZNdjHdxGdkl3vrrvUOzhSeHRT2S2OEN6Id
H4IpXlufgrb1wpz3OUGOsV0wtSWMO51iuQ3yudG93LAWQHLsvbJryLWawrwjp4nm3igOoELvTAFm
JYv9j1HlHEySwFWzPwVQx3Ob1yYOq2s9UNUV2ncGg2Z77nVe6ujxxQzoLQKshGoAtdc4lnOD7sMG
3xxwG7ph2hRPDqedQBh6sMtmKIylEXtrMcWZ4wJ3r7zCvCX8ju6nu2gMY9nQiUZXTAg62RubUaNr
T8qYMzlt7i33Y5ojxdQJvyZE3W7rx0ZlAl9EGDlBerezZvCSmWibYGb1wxu9u02r2SvbYJt11eDe
11JGr44yT5yE6ghutE+Ie6TbJ/ivxwng7+fyPlesl6YZdhjo1ko8LjgQz5kabMi/u9anlHjfEheH
K+SFjL2UXJI8mByl6V5EqL7E/Yj/RHU12Cmkz7t2d5fq5lNELL1ekE9ft5m5KhqNxCzC6zXeZpiP
srkYVTJj8E2T+7YbCbwvCL4vGmXny9hlopq8mUrwoW+V28Jo9n3QX2pCvVShPDZK9JqQGTCzrAGB
WuHbszHJnaUOeccehhu1oQ9Umu6Bn2nfRTZj02jhmZ+Yq1B08XW6Zlzhw6sWuhne5AFHocjJZ6rP
ESSi8Syz/IMB1NdIq2GeDf2z2dBC5iZHYDBh6Ns632tt8tHjjnSlwbkC5yPKjy3E+6tc1B8ZRTIH
Coxbq/LXfhgqRM2UZ01FU6fFbb+AbMFgRRmihRI0uO8JDACHEt9HNRdpzBTmKgEIIjPVLzWB8G6R
Mi1Npbus6qzADNH5R/ALABueQD3gxjOe0ppBEuGUVwHBdbOxNu+wRk3Mf+luvJhCMrerfm22XjhT
m85EnadFy2GS5xN4/ImMltrdM1OG/eMFXjQsycQsx7uWceRkm2bqRL2EQv+GUxBHZcU37kMzmkLj
mxvYiRwZOGz0HGYWbtdCu4kwPGTummzGagEriMTXTibbED/4MiXtiPem8ZS3VrQcRx63JOCWzroa
llyPagLdzhxn1YLY2v7GQaQ8xfCc+mD8qPNyImPFWYRhuVKhBTRxSpcAkcsyE06wmCJJOUcde9Oc
0XWej6rzEFoZqkMGarQKV6KuN6HD6RxVT9Ln5yRsVgy0wFMo1S4vKoiBbb01g8w/JthTYlPccHW1
NYLrYxXJc182d27sXkkD06jvdS8c2+/znOpbtTnQeyUAOKgEZTmOTGzCeyugX5CPKMYJxDp2XsuM
AQHLPA6SvdohNaLpNAfNyrygtp4KBTWIXipLacSfyEW+KyL7vijDQyLNF1r/DC5Tm2a9uxUNKAyz
DLD8lR1y8dpX5qqnvZDMenH0bM+Px3ggGjtgsvZd2pIFMCZGDbjOCZalg11wVMwFcxUakzEH3JqH
aeDRw7l6rAId2jOkQtD2l6hhF9C1rarZO3SV+9jiBEs7rJ4lDN6A66XED4RpMmtshwknFnmqyPpN
CUakk25JVlPj4mogZzXzXGXZAjm60jOi/HzvWRnSfRCPd8rAsAx0BuP6MroZkLtiqe2uigr9EJ3/
eGH75Ss2TgjWUi3meZrdcYjfBUXxGo6grHxdTW/7jACvTL+zJ/GOh1NlltgeXHwMno7nsG10Gzst
vIUnGo67vB2K+tXVO1TvacK9VqVNZ80S1VfkVqqTcwenc7YkZ6taVR65kx/0tKr/L4XQ/b9Ge54O
Fb+riA5vGZOH8FdiwukP/y6K9L+cydnu6KYJVnmi9vxdFJl/UdrQ8wQQNFnSKZC/tl8/V1IqjIov
U4nJy/5dUWR968r+m9ar+LEgomRWrclgj19XYKxDufhjQWSTAuOkuq+cNAUyWh1qc9Uc37wOtgmP
CD4yQ11ZWrSSg58mDOoLeXER8V3r9kSAI/Mlsy++j3qVId4Abr3SJGb20B5eLcWpkdp56UyfAici
YPGzSndG8l85bVama66Re0hyQju0FHWIqaZQ3BW0oMesiNVXvyTcotT7YpVPgRcd9CZcqy2hbzn/
X8OmNwcSSH4ANgSya4rNGDlubLvM3kYRjcsO3y/ofjxKpG00OpK/XlfJmiaIA+wnPuwJ6UlGx+AT
1pHa1jJwzfboTEEeqYz8JYMfg7n2EMyGKfBDxj09UgczLU/y0vH1kW2SgJDR6BZs59U5QgswA4GU
PLWONdxo2kOI7YPcjfjIVh8s4ENdk09FbJiuIbOOaLt2IdVL8VqFjMUdQLikRdczZwozsadYE3qw
4Tb7HHUyhZ7EQ6UuK2tKQiEsu5s5UzxKW2D65mdRTrRDh5mFlh5tmzGvGe+WNJtmcZv31+MUupJV
wDd6cljyKZDFnaJZvM8pLUROhytFIQGU3kJGwy6a8lzklOwyfg556XvTWVSfo1+iIBipyBBn36AM
LdbtZwA9N3a2IU63XacVoSyeUJxDaHbUdrXrHWJaHk520MrGu9aa4In4cUbfmXj2ZWrNuirRaVG6
T7FW+0uvLj6pLsx+gIX7xAtoAUfDKVHjnO5y+ikYrUVp+PVpSM1hntomwDvpkHpGCTw5ijeyLe2t
boGUxdZ0w8SLnylN12bAP1zpzLXeolAxh053gfEVHR+g1huqCdl2unkgN17ZDlSNWm4kxtn6PCXg
JeszMuh5neuELy/IFaz3IIzURcONdsJmLVaytMqdMPN8oeQ5jviOFGJnbNZGkHyYGLC1Cs92IDJo
CxXCINLO11YW/k60selKSd2PcPLIk0iv86a58xTjUBW8AZDTFEfEpMNGFzKa+fl4pViwdFO4t7dq
5JFq7LzVSr8LE3uHv24/BLm7tCOgEv2wFMzp+c4nZ8j2FplvGLp3lhbuUyyo87CxvEPmFNUCEBHJ
yoF/Q+ywz3Aj2ciovYpLfiQnsLdFN3FggBjN9Nh59huUS7UIT32b0yzO4IordZvO8SvONZFs3Npi
vi6fU+kgwOFElDufBLaKpk5X5LuuaIgBEwI5y8vuUsChDYpoY7cmfUrS3jRwN0FtYf/rkzsnUU+6
2dzRLGb6CDdMnDzQI9i/x09FqV2ssdnYdMgMAsFFDfdIDXqUgPE8atvnQBhrIdtlRZAlggLnXMXZ
xcn1jy61FceeCS05XEwFXUVaFgfI9SslNucFv3EaNUgRNJIkU5IFETPBe0pfx2G4JTwxpfCNNrIJ
zmPen1KGDARcTbmwV8C/QCuwfGKp1wjs0BUMc0Rkm8xrFqT+4XpX1nRfr2yBULOgVq/6lWKpE0ww
fBXOpJcurhTiG+LAXg5FfsowUWK0oCSvCdLCj3bWYYGGrX/Vq84izZU95ztizMPnstFnQ9zPSdD+
pJv63JO4zFy0dHXyJpO33GsuaES4I1Xqb1r7HRrc0l5UOBXQqiPgkHPTQz5BQ6jCT2diabH8/mL2
7m0SjfoC1QgZO526Tk05dyFKziaGDwO3leOSvFyGR3a4Feknc4JvF8KBbelXwcbQhis6Mo+qVqN+
cm6EKB4B1198jqVN+jEbirdSpSGI/2hmG+EqFAVFCrI735xA+TTNg2uy2w95a1x0L8U4imxYqgA3
UCmq6pXitldOpazUILmJkFXUlnYn+aQ2PVTUhsXSU9pdpTYrHsVj5TorFFdb7N4sWC5RXvfzPqsg
D3h4FE39FR37I/8pE3Uz8LLKhAgVBeXCJod5yLrnKqsAWCo7BOqbERxqPiBHBolAo5GXRFBQNKMQ
Reos7LVeoxBpsg81oIOhsDe2Tfc4gHKZ1/IqIy4Sz3POxN1da1H72En1IZfRJVe0tWf2yLJITNXc
pQ/oy64t7k57jWfrOsuTXTHCh1KamyS0r5zeO3lTuoyZbjmNHIKcIO6soZOdIGL01A0PGNMX5zqS
7p5Iq6dCJCRrA+hGKXHnSXFdyeqUVdaFaBB15mjVTQMJtC0g4smxIZU02SeWvwVbrUK89Q9y2qjG
HHhXvdOlhcKRERSo8oijQNVNRU+284rsThbDFkv4TtGR9CDy8l58nKA3VUXu86jXVKZIpKFxoOHi
xRN9xM10F9WpvdGZcXDwrp/Qcc10M15EIC6Adn0UKZSwunyMZbChajux34ZLVcZrrat2BMbzXKLa
46CkPQVWVaxcI75NQefOyh7LlaGdo9iJyOICHJ5j36JdfeXFYt7pSkpadY46h+MA59G5NuhT5g2p
PxBlfLGOvH7bZ8PHQgEsh6yqlhYjJcClqUfgK0CYZdP4SxkokGmoEOK6mXNa9xdgO69axfnYtvA5
QnWNDXzFeGcJ1Jv9p4oI5u3HVY/PlkPPTtbWbW5xRpU1yQ1MemuiPFFeKdtMZ4SlJjynWBS0fJMo
9WFUuqdKFq+NI5d+hGHJS/oDce9ynkLn+eIS+sfZ+U+NdSpETm/ChrYA28l6h0jgwCtlE2bKSU2v
wiie5fFFCeI/dG5/akl/XkTALDeIOqP99GMZijhVpbWmKafeeZHdumue+pzsr0VKytp3FfovZhK/
KnjpNv690ruWdO7lg0Y0snLSGfObE8KOg/e4ycV91HwIQSX/frlfXj2eJotIhKnx+O6L6U4O7DjJ
/XOrfKibXem/Zsnr75f41TeiWqZYZhnjJ+inJ8jJc4ciODOLjro1QSzLBGlZ6q9D+Ld6/Yehzi++
EWHZHFoMbgmasu9ODC1Cc31Q6/AcAgEIDTQ+/rqI//CdpmnND518QrW/X+T9NIfwE0t4LBJJkJxw
cmBG/P6q/elrTP/+u9FEW491K1GUnWVxEBOvOr/17PAPi9AJ/+3XePfrF/EQF21ahedeIfDKmrvh
mVAoNrgnuqSiOukAIf7910L0TfiihdQHDu2PXysOnTTMIEWe7fK6VH1Yzxvb+/Tv18AdJ0xhcB/g
Tv5xDQ8xuAAxHZ0hZi8JhbGzfN4ld79f5FeXDl4LAwFDQ5vnvlskxz1ihyEDe1k8ZWKPRofNNmCO
fBM1OxPRbedd/37F6Z56f899v+K7HwvEpysLbYjOak+0dfXAeOMPm4E2fehvS0xSJ4vJpIY2nk4A
z+u7zafKTYizvZaeoz0RJhtengfSSZfWdXCx5ihXVkyiV7//Vj8u+fmAz8b97Tq+WzIACt/XRRud
W1FxTCbxErqMnl/9fpVfXzuTSzINeoX17tcSI8ObOlWjs1e6c13bTSniv19huvrfLt2X72Fq090G
KtC239/YRaWjtCLE8mxz9IV0RrX5IYRS4kfRH77Lr67Y9yu92+AwIxDtZovorFlvgXNteTfl+Ift
7ddLWIIAH2DRIKV/fIJCmueOOfrxOctOFtLLHt+w3og/vOp+9Qhxs/29yrufPpZtAJqXVcL4NcEl
YdCQNVdW3Mzj+qzE68T6w2/009fSVdNGZUfW8iTne09T0l3PLlI7T85A70r5AYxzOV5+fxv8dKO9
W4Je2vfbdoZoCRF6mZzxrRH45+Nrsv5w2X69hOHw1FDw0Gf7cYmo71Ml4aR1rpJXZdzQ/v7DAj/d
ynwHxwT5TUmDkdiaXujfvXrYOu1Oy8b0TJ2XNtY8iDZT5zxz3z5fq//MqTV+9X+eU2/S4k2Gz8nP
k+rp7742ZTWEr0JHk6JZKAkNk7vga1NWE39pqtBsRCufqaP81ddJNUJag/uChi1/+IXh8bUpq/8l
2Jwc9OKoWTkp/yuHN45xboJv+x3zccMywYFgd9TFJI+d7tLvbhKblKOsV8rh0BsFwEMtJlTlUNhw
zD+p45hZSAJrtUaFZoSqPTKti+OOrOY+QmkjoHZ5Or4NB4rnldRae4Dwrb/SxQIV5XrPUotvYi9O
z6QboQIfhb4yLI12rqlWh1yIT0HBFCROAU1o2cSuaRoCJyoIkjVUIiCFmrUf8U5slCypkaXiWxzm
vcDFHUU+w09iXFA9uXu8tPHOFWG2qIpuWEmL81ddEtCUpAxAUlfDHYyT/Wi2wza2wr2T194uDZN4
FSsuLg8XsTwaUEG/IbaGVe/awcKokYuVaBHnGiPzRdmj3CqdJluopvKUoDIqRJ9t7aC51USgIsrD
s4M3qJj77qAcZSRe0cQz2mJAvga18WmMog80Whm8m62WbjqPBJDCjIY7fG8eE9fg4BP4sWmC6K32
R/0JeSaeYJoAq1YkdAdoXwINnzAfZA66u1ZhLCg6VdmaRa/uLdhP6zDQod/LRuylbV87sCxv0Cxu
umC4VQqgqbkJqUt18mtbYGB0PZKuHNWEuJKjNh5je7KWMR3rh1jZa0EzQadkYD21hY/5WjViyFaD
Vq9hjA9Tz1ZKIU8Bv10L/j48DBra0pnia6SXk3mhdi7dOoWYDHp2ONBJFLU2RT3ot4reJOEG4Ne4
lW3mnsJ2KEqmfg4mKZeL4J1c/FL4lUBQtZob73Ws45qfjjdQTwjM/s/u9VnRP2nP/3n3um2AfKQZ
W/17P8v0d3/vXu5fYBaoJXm5Ww67xLfdS1f/Emj8ydbSTRJiprnR193LmXYvw0FW9sUGwJ7zdfey
/xIc8u1JFsYgYgoW/BdjpS/13rfda6rWTFUVhtCmSpft691rWoPBlip5mp5GK9ii2ePZAlzXx0BR
MpTULWGEcHeSg1nwrHOovVJxuIc4vIJG2ZDqx/hdv840PP+Gtu2q4jluzCcaLnjX6kM/anvfNa/G
AD9MjPV7Htj+UzUk163nxUuRps8okwR2MoS0HiLE+ah1yS4d4MgkMfhGJ60zwLQBjNDc2WdGenYC
ZK5uTsrQaCtz6cYv2HBXhqedgz4/FRIkT+FGj53G/CnPxMmxygY1TmwTSs8UpxH5R5HnyB36gBl8
YCMUb2NtYw2ka9T2xvDSW2Po3wZzPDD5ekm86rYbWtC/qIRy0ewEytZZ3oqTldvbBKI+ZnPrzmAo
M+b1hy4Qq6qVLQ0gSEid65zJ4CBOKj9FXXyMumhVKJo3b6wuhEiTKDNNKg8uIRU8vIQqWNE+kDiU
xwItsRvXG/p6VB6IX1eAmxg/RO6HHqOp1TZ7s4HBUJTXuFxXaQz1w9ZOtuWuGqO/ECQNhSKCB0J8
oaFBHEqUR1j1D8JUV5CXwDK1nXVlJOlLODR3hQIsIKXjzUw8Og4tl66MCWLsvR5mh0jvS5OEgoop
Id7bHAGADThAdVZe59Fds6DDDk3LUIJeHDUYzeEqWdRldt/wMTyECfM4VBAPdVj4Q3yb0mHYoA67
suV3iCJ0Q5EKSCEfHHU2DMYldPJd13kfzRLacCjErZmLi0JpMAcht3eRJ8EFsIN5UOC2DmVwUSxv
Y0W1ubdycBZ9Gd2SovDqqCGDsvQ6DeKPRADe+66KEVlHvO/zpa4KTwOwoXg4fPPen0MfRQY9qT1s
bw75OV4VYbMYXcS9Y7xWTeYsOpS4rGFco1fNGySwYmGKiYlgF485wElXK5J9YHG1pwRdVE5oIbIe
eY1RkQmtTEbdkSyDmdDc4jAO8q4cefkXDaAsNUKpFSoajDuUK7SjCYmQ+U7N+2SvpWSWONVjKOw9
hcgla3MyyUMXDIg2jiBAItq/TBlX7sBYk9yYD0VW3jgtP7wFKWawxqPaeCiHFG1htNbFLRzCWDyo
Jtg7NM/b2DFgdYubfgZQdNWPTjKXGlENuh8ji+44xEWlbOfKODz7xgj6sGIemXBFZ8T3bmu4K2os
ltpg4+VI0vAE65l+lp4uB/qP0Qx5Gslp/viswMaqW4SefXsbJ9qi6Z1zrOsQO/zRpL+L5tkIlfvB
wflRJ/ZyEnQEQyu2SG9ojmtAJhoLK2emkP3tpcOWoekyLwoS3/AtLXTFfNP76pCoyqFXa87oTNOW
6jA+52N4NRS1Nc/FZD+2MYzgdbNngyRvWC+7G2ALOeozMBWe7nMqNgSfp0UI2DXcgfzvn/QECsZg
TcAsjMIYrpVLiSW3SrklTJGG29y27wpZHiuUtDOwQm8IUE42RmT6x2Km6ARMkpairwQT+kAd5d7T
1DXyJX5trvgONiyY8Yy7qamzJzNN8lWusAf7oYNCv8X5kgz+lYdhmXiu4bkUIfBatkYzpqQyGtJG
A/MALetUTWIgxj3OYgiNmy5KCT8183NZqetImrfFyF6ZazeaDymcekHO1Nx+ZvK2JZN4q/PlFl3I
3Anh951Cr2DuReHEcYVwLi1uavIqn1oxPsm6vEDwAHPOcZWxPgwvNjjG4s1N4eB7l/C0GkPJF45B
YkWHSX5ChL6QysZWgaAmcE9sdGu/ZEynm9Xt4HX3sV4/yNIhxzluHkyXlD1N77QFKlbCU6uoXYQO
jTnqJqRlfjnMErwUsopuMgaIY9HkCy/Wnrq4B2SRRCsLuR7VE6hYoyA5T+r3rbjuqu3oPXbhzgyM
a5AYM0Jw7yMlvQuxAQiNAlBkORLCHMdHolVXaiTeNDb6pda75zbExlOS6MlkdyCZXYzhEnMDmdCm
CbCp21dFcmld/cruE7bfEDrloN2ADdkFOcPt0G8e7Ikfr5b1tqyPrRhwgjXhzLf9szkYIYY0N1zr
KAfnlgwfiCZcJ4mM9pnC9j8q8uAOtrJqERitqKwxCMA2nFUFDFogTMuu8LfWJLuskKUh4c59t0Rg
ZeiEDeVvwJSCQ5cB2JtmGpb9EOVpt5Z1iDmjLrFaaAFsggBzNBUrXCDfIQ4gZAjG/rX16tE9aYYk
jGFUSPaoanPT2sExkYHjPDfmMKzHCVfPUWRC4Ypo5RI/kMK01wsKVhj3AtZ9zEGboQk6KEWaiPlo
QCyHCY4PNeYqgJZvmpV/lQXqmzEQFTL4L7xywCsHPZNQZZFC3Ndjla/OZ6wMLV/EffLah0CXyKVa
62qkz2oPoUvmi8egT1tyV4FGdSXqM63KqZ7Rx7UKKXq22Plc7OKlVrea6V1iUgIUAiGOobRPRtF7
TNxTbR4n6h2Xn7c4KQNFH20JfWMqXvbXsmLY5ExcQsPOVlmvxnNGdcUiTIopkKZ7zMh/QWB8YwG2
Eol1l7rleSCHfSbGeAN1YCXD5NzynEBF71daXdzaufnK5nqu3S6bJwG3QAgaAi/kig0OjqgJbc/V
qmM25S4QWHOViVpHbpeebFcycveCBmB/PCxlj6aRfX9KooSRIkW1TKd8B2A3hCjl+vNYAetIum5t
hxGbM7EQFLmPkpiI3k5spG7KUiNAAtneE6+WFVqLC57LHU/ula1jgiqJnijGisjAMDl0Gq9awilC
r94xO3lAzfHYTekVFjEWFRLifMq16EIXtICC7NIl9ALAXjZHw7QZySU05aH3/VWBdXHRkJMRTIEZ
QhF3TdEexh6IVBa+JMRqlDHGycoY9ihDm6thyt7IenFINQdZb8pGSDwHoAixKAnsiHN93xHg0UxJ
Hv6U6SFG8RB1aUoehToufBw9M6WT+gLi8YgK3CUkzNQJi045HZMwZi6dUV5VU46IVKMXu6OGcfrm
bBeVgTgFcrjvVtU+LYkWKYkkSaIpLIiQkhjK1NpNu4iaE2cmxqXEGc1bUStbAZJ2LYJ841JtoVSA
lANYoeXM/aVp9Z9mkqb/7ji2yYZfoAKnv/n7KGb9JUx81QTuOe9QgVAEwdurOkeu/073+/soZtN9
Iv/WFjYnMhdfxLejmEVELjZlNi6dcQHt239zFCNc510jiTMgmAI+A+kjhsHm8WMjCQFSoTF8ro9p
LIJVnifhos9TLKjXg96O0FlCN8BNsDQZFQQZrHDI5xaKE8LWDR3dw9zknZ/sSicsB84bjoWw3EFk
Kq2Z1ouSOCkrCYy1ZmMK5ZxnJiEhl4oXtfpC8dw8+zBK0Zhnu2lcmS1sQrTMXW9ZiMN4XsuoerZH
4ldGREVktkBt6WWLeoNYM7mOqsIl7lsNNn4vOT10nXlX5szqHJLtyiYnU9CMIxzJZdfuaNsPzPXD
7Gjzqr+QK9q9qBn19KaNAv+lNWW/Sio13YciznHA5t4xUkjEbpUogENHQYwgzxiuNVv3NpCEukOc
2d0RfUa9kLDs8g5KIYwaXT6TcVXNk9rUm3kACGkTcEy41bsS5E2QWa/OmLjrNkg6jMOkkVEorhOQ
5xcQ5QmMcmB/SaP2JigqBHJWXUOQE+pwlKqMVnETVSuz0AoCdatU63Btk008tvVVyR7D1lqAsEV1
r38wxmI8B+MYUeLpjf4CZNraNWXlb4Y4qh4NMmIX+MsAUhX4HUcnbU5NE79ySbNNSW/hRkOWkMwj
VcU4wmZKfZcHx4EI3YU/WOHRCqtq7bqJXEaj6xzHEoNhCowefCC5w4HhD68Ujsne6rzqvknzZlW5
UQa0NNQPCAqAyougileDy2lO60txjY9YWdGKqs5GaBQL4DP5jlEmCp0q3oKBGpcU6c6qtIb+U2cG
yZVTpP62z0OTzxbZyiH0hLpNwyohfnIAhlfXdNTKwcnWhU/7wGQ/RaQnOW2NjCK2iVTEPW7oh1wN
9L2uOMWJj++h80rNQ5XrcLKkVE/DGPQoXLpo44egj3KljnDpFsMlkE5Hnk1XLoew6Zd+O3qrqqwq
/z+Nri8Almmr+edG181z9n+2OdK0MPu51zX96dcNloYWvXY68kJ3/htR8bVTr2sQVwUHD6Cr9MIm
g+m3XhfYCqTNBsMoApenDtS3XpdJ6vyX/xjRH/8yQoRW2w+NesLKgcoL/G5T5hkd8h/3V2QZBAiZ
gzwN6E+pRvRGg7KYZU5EOFSQnUJTHMKAwlZYcs1Ga12XA76g0VcvhmdeYtm85Sp91r4PNigXd4Gt
rVqMQhxi50o7bpNMA8StLZDiknZtgpYujL2acFYwmvSomzRMfHtfBcoqH5RrEQV39pA9WD1YOq98
c4iwkJrDQS/bxJxmAugvPJjAlZzgXg4EIpnqNVmMxwZKVOuqR0qrmvjxfi+QaltSo87y7yxQC9Cm
o2Uiuxf43gePxIRaGh+Aca3but5mnoA6R/fbLI9eEBxdKlCX87ePub1BvGjk5UH2+oNtAq3XtKM7
DDMlpn+lRUdUb0uKpUVZ4TJX2yc3rM5B0Bz8bpgD1ua5bpZGIo5SB/zvfqqkq0/nQvbeptmyNT17
jCRCYT7AGtsolbtoreoS+CNM/IjUavahQt4M1VAxHQlPvgVmEbiFFok7C373OFSX1KlfMr0/Ql0+
Bl75X+ydx3bkxtalX6VXz6EFbwY9SQDpM+lNcYJFloH3Hk/fX1C/6rKoumRr9VSaSSVWJjMRESfO
2fvbx8EU/Zl+nzfzlh2VpIHqBwyws6Go/hI4Oy3Ur62IzgSBKtvOIstLzzgueovO21wf6iB91kqd
ngiG15jc6qy3iJPsjqGae0s47Bo0fK0lXSfOtFPk4F7P5ztmHb5ZxMoKeCnWE+w2USDXrpXXp9jO
BDeNO0I294EHoeTZGpxmU9XTxq6MnpCn6kFVCdGAMvvC1dAJV00TyrXfYi3HyNLaTbJNnCLada95
SfprdlKim4W2QQQTrx2amN4wtTtAmvKmrPuMzlJ1nRKUugevNrhtjRtL4W58mowFWCX0t1U2xSVK
8FD10CAm16qiblIVnbTRhdukUFrONwdtaawsLjDFxSXimp5cZdV+Z8sJmJJR3wIfM7zWnG9ifa69
zommVaCZKZQCdHBlBZGAFIo7m1GXn5q9yMJUr+jAVN6S/BgJB18Rl8vcIvhacsMHFHGxqMZab9Jz
3aajl47AMbLge7zoJ3IVHqSRnzs1fYfyf4abUlc0JzWT+NK8vFLL/B6TAay0AVJXYJjwVyKhQKz0
lzBEty835ExWLY1fWrhc62gaWVPyzZEY4A86bp1hQC2aqvb3sHKeilm9YwL8nfdPQkoptxBiNDLw
KnT+xDtUnlEAJaxSpOcDdssqazzIgRdDlO/tfLzXp/lHb8n7xLH3ehnFEDS5i4XRPT0wH+Rifaa5
Ua+BxxLZ0kvmqcyCG+jOCCKctPVVwY/vdZpfTJofxwTZfFtDTiyFPVBw5y1BoE9A0QdStkkEm95Z
BuKFGGNlYOuZKb4QLvEyCZ59I8j2i2WCf0MYbHEyh4J+r9bq2q4Ir6g1dRMAyO8EKZ9tiqYX+aMg
SJDCxo9zqPGXS/rXWHD2TdQnTt+9SKBSWhUS/xTIHmllD5RFgztT+S1qL7u6wPcLjr/ecUddmuo2
GvEnygnitklw/6cgeNREEkBQBRbPl7aGHYlVjLkBTB6SA8qSZYm1pOXtgcKVVQIKRdJAb8DUTWPY
LCKEIF5M3tuwr4gnmHJSS2ZkrzbBBWMkn6NuuC9ked+JZINMcnAMYHVcUbsd00i+GYlBMIrolh4l
vhICEgp08ytbB29rEp4Axpfwtjm9ayIdd2IOjjazYOvcRFFarJuRgFxXKkUXsyYvT0LctNM7Rq3Z
oK8K2ZY28oJ7C+9JDM4vL9dTr+4JAriqBGPLIlDxKi6H2P136PY6dFMRYfz3WuT8XD3/vQgRP/Oz
CCHe3VR0A30LIy1kb28Gbkz+mcPZ4BpkoYj8pQgBOMfVi/KEkbdp8VN/FSE2ofC6w58w4Jdf7fD/
YOBGofG+CkFBriExZXjn0DB5lRO8kQs0dZvrxqAuF1XFJFtRO8LCHWb7lTHfKUm9CSL7q44x1mM0
8ELn/ik2J+JkJv3QGkEmwKt3zlAzK5pPxkI3z8CvoQbYkeQQYGmcrefAvsRKqLix0qvEJcibdHJO
o2Ycy7zc2KGzhcN9kci0+G0aUm4Tinwic7wxDa4GnaZ8l8ziwJHA9W3Qw5NlAkKX2P9Wdm34s0of
vpYwGGjxTjZGy61U+96qtMtWzS4MkN2rvikGVOxDdp+a8yaYUo3WuXOVJeFNOKbQJkV32sBWFWbE
rs+dTmJmmJyWpa+ei47XgRC9oeEpNpbQlUxlm0t0/sJJaYi5GCO/c2K5w8JR7XuZIC21Qk/RQxLw
UgJe48yg/5i9hH3sdag6V5wSm75ukGmXerKZFksERXC/HtNtUxQ+GSkO+2DkNXqm7NS5PGgybG8F
sG9QzEzghQM0SK3jmJal64zmTa3E5Jdy1LkSwxi28Ua/sDNzV4y9zBzPoQHXGtnOtpyzmRLyXRSE
bHfBUxvat4mEpSCWtK0+B98ZzeI3RWmPTAVDKJ5o9H5grWGykrAatEzhcvl2ttlrrcnYEUU6eXpY
XStKtsXoZbkRJHKgw23tElEXIIAayH2RU0agibOOi7b3l4g+dB2QMWSE6VfmOngSamXAtLWo105N
vbkYqR8ZoHAlWYk8qVNkmn5YwylE1RxHWFBQHUsGJ4lMJx8C2q4CWDQJI//ARJmJmpWQNs+gctu0
YQmCYbSlPYqOb3CPK98OUme/VFHsKlmza+rwtpUZBssdjWmp6ty8M/026g1/gM1FpHYJ5LgR6IEf
JQZb6ErjQZ6Gx6qdLdqnZAqoNUNBzYHmG1SklNgycpfl2BfTMYeo7DZ2crV09sCxEm660TgVi82S
kO4BhnFajQJFgEmQiJgLEsg3bP1rI+ZmjuWOGiltN4mlHjMTC6TsdHBFg4tBTu+cieM2Z8wYqrWx
IQYzdxOF6NgmKdt1HBWMsdMTCcV0fcPIp89zKjJn2xkDeltL+kZm110pzbUbSiHhT6r8TYur+yG1
PSkk4K7BlPo8NIYvKdIXsBe4qjr7pE2cs8psplfAsZ5Qhh5axfpmLe1hNqrzoui0sRfcxKVxMUHl
PRVNvslkUgUqOtwaHWgCN0kIVqPrIeT4TeP5SbVuU8nXZ/tQxdSSxJ+TIx83blFJt/HAgLJLsys8
oZKrlg3mcNzYZh+4TCAuIwPPoUnynzYGXh4nviSZWxDMJV33BKdYg7mhSamgI+cEbACnWHrB0MHt
QRI3KtaPwZrCTZovT44JE62jM2GCviMBjgM7CUE21Md+XHZOFb/gCpRXgUKCQz46qypObrrMeHEa
irZ+okgrauueSDHayHnAIi6pRbWo8/OavXDlLNm0aQt1zv+U0//bVxVW4v9+4h6+N7+59ouf+evE
VZCk4NNAxG4xxJaFAO7ntV9G/aJzGpOlgshEHKt/Xftpnr6SJBXZBgeFfvM/J65OX5XkFhmcq4kE
G9DrPzhxrb9d+x2gVvhhUJ8hE6UF8e7ar1QhO9vSna3WanHZxk2IXVLNPIzJzsYa7GfyJcd1LXLn
GLolurTPW7sXaZ+xmnyJVaIBLqKg7OsdloCKld8no+xXktFblxV8vvGyGKtzpaXxLSxv7KqRhn8y
aRdCSbMoedIygxZuMeO+kAO6tSEQL+6aeMRicCBLtO5ee1W1QcDdTg+kPNF8pbOy9ksemQkctylb
VLDgWm8SmLdWiylW9nk+LuVNuKA0Ay0ZJDD2ypBIRy2UvdiCPz4Nnek15ZjAVyGLcxR5dENqKv44
1cuGkX1zvwxRr2xTZzYXX2v7GbWA6pCZmPWAyZEwCphtoVcSOQoVFJt+bqPSq9QSRIUpXK6Q/AGV
F3O7Uaoo7W5SLYMYYiIVuphUM1I3tcW/z2FbPi6jyEqt6jBF6jBFpbUjNEWT/X+L4teiWGFNfbBE
MfC0f6+KxQ/9XKPOH0BgDdYi/bS/rVFNMdCAMRthhoHU7K8lasKB4h+LKQe9O7EOfxbFYvTBqrUQ
tRkW8rZ/NPqwftW/A3ty0OoS4QRZwTQJcRJL+E1NrASaqNQs4xwtktbcERaU5WDJ51zxokiiGWEn
uApOrZ1qpK6ZU72Rx+xKljTXIYkEuUEMlsDtLDkAjm6bLSHbZbN4szVoQjTSsqBauMrEPILhL7Ny
Sa/KPH3AVE5mLsSfUe2AVmrn2SxqTy8wLFIlMpmvoxeSVgl5FUlLVMQQBmTOeEKYwLSmbq6mszcS
0BQpwSPdeiKbSjkhjSJ7jXJKycN2c9IFsIQ2QKEJFbcm0y37uStOujSb2xkQUKzHgSjgR3I+C1J5
i6F6UckdD7moup2ZB65SFet2gj5a5sm2TqQtgphuNTXFi6w1CRMLTLCLjoghlL6qp6qYTyXdkElD
MEXOLdioLLhVavsqL2XfmYdNslwpnXk34pwx7dDXyQ1xTv8uxD8X4oe30+Nz237/3Wn55n6qCMA5
niwC3jF4QyJ6c1oqf2jiP3MzQEn+9rR8xZgDZOP+iU9E/qVJ7vxBV93kb4TbyHpV7X9yWjK1fH8/
NUjDhPum4H2QdS6+v65F+ruTxBobL2aebFRYQ4BOoLfIKMAZHBGeEBy6JQ01f6YHnt4rvSLJHod8
3O2qJRax8Fwqj3/2M5NJ7eChj1VRoqMo4Kd8FWG5qMqrJlj8LmwgYTAx3E6vTHTnlY8+ty1sY6Qp
cNODeVkctBqvQHVmlRxItQnRo4LyIdDrSwkecWX13A194CjN4pNvnivk/77OrVJl08upTerFEOrG
XaZI6DMtcCMc6hVxGabebStpwPuuzT19SpFKHGJBl/0wTIAtao4D30okGKMTJMs4INXYCUdFwio+
D76UMescRP6xg1tsJefI3Vjqxgt97QhSG4nJ3Wt4slGTSGkQqGyOkk6Atf0jKbiSdXmY+1bFn1US
Yk1p6Mk7EOnMUVi13MBx0YUxXBSU+yGCQPKcZYtkZ1URIc+5yHtuZElmg8MQoMykQduNHhEQTJCB
IrKiTZEaXYn8aF0kSWPed2hDF99TazE2UDNCnO6DvmnLDof2axp1aJGzZvTZZSrDJYZBhYWD9Oq8
rkcQLAiDQ1v7HrVkXLOj8ViI6N481ImLK0NrBSnthT5BuDWXrHcVkZgdNc0PawyCTSXStK08GVpv
FBnbWadaG2ST7R4jc4J6L0pOvGdocSKfW/SDY5HYjXuSq6tI8XZEnvcokr1bARErx5yIHpH7PfbE
jxdLw9u0tcdMpIOHIie8aXRuESP4uFKkiHOBwgFbkiwON62+AoWMTl/kjls0iFdItWrayCKXnIFj
tgbdT1Y5wBAuhlPlT4rVw21qaz8Q6eZcZZGCBUm+/XfbfN02RSzjf69fbsqizH/T1hM/9VcBo6p/
UKDoBmWC8T+9u5+XDI0kX9Typkrp8Dom/FnB2H/AtNVB21qKrhn0BP9Twdh/MItU+btERxCV+T+q
YBhL/rJtvurooTLpSDcsmzai+q6ESQtQsykhRheqRn7K2kBA5Gqa2X9tkt4f9HRie+CyKgVcWxPF
uQ86VncgrrQUWC9dnt1Y4rLLPcqDn8SDyz24l+Rdy704FRfkRlyVQSDDE+P+DCjhaRQ36lbcrVmf
O2K5XG2JLzRUCjmXcDrQqMu5lffifj7M5MZarb0tuLovo+RZXOW70WRAz+WeiQ2i53i8VrWOqR73
fyMtGDaiSC5pDUiiRxCIbkFN2yAMTARPjxn9hFE0FhIjuW5Fq4HWJjdy4wDaIEOKUGxm0ZaQK/0i
Eo0KmY7FQudiKPqD3QbfKmc8xKr5RBhmegWoHdx6EZxG0f4IVenLSD+kFY2RBrnIaqRXsrTNfUzv
hE2KDkml1WRbZncT/RV0wfwidFzS1D7NogWj8DsE9GTipXpuRZNmCNDIj6JxE4kWTkEvJxBNncbO
72a6PG0/PkHALVcp/Z/Jrjfda0Moz4sVSr21Ta+oDoyLVDSPDLpIvWgnzYtzn5ho7ukzjQMKNNF4
aulAFaIVNdCTsulNjaJJhVT+MY6A1gyigVWDXqxFSytNu0eDHtdo1uipRdeL7heIshBOXXh2CDz0
CjpkY9t3LlKfbRvA8Wnpoql002TRViNJztmPZl/5XLm+FaF1Ewbzpk/Hyc/LfD+XqrJCivt90qvD
YhZrk/Ea/21blMxX9MG2/VKN21WUdLjEk+zoTPmteSQnFJuFxRiINrkXaUHkWX37AyLlliTdjTnU
EUGFTbjmfzwpfe1XJW4nOQXiN0jtjTKgCTLSL/qsbJywB/pvG4fXaMCuLHWvKPKrPonmNcO/td4t
mUu4kT+LQS3OZdtNl+YEDb4lJz3ofHigGzUsDykaoMwRSYlOc6Wn4z6JusSNGgQ5Dp+9LgoT4irB
0gM166GMPhD9p3nRK/TMFPwztQIVxu1fcNHkyqmvCYYHlqZM5O+BT0spD2gkBz/ScPoeGLjKozJz
C0HqsIrpvjWbly7t61VVYgALnQ10jStE/zvbzgkhNR2vmiw30SykyplM3IvRnRUt0/nlKr+2mDlr
U7ItuwlmTqCPyJStBQQSgZ4VPMCOQbxmzs+TqWKVm55gCNJInO/4oiPuP2RVxNKxqKNNlGK8cfAR
iN5vknl4GLZJPq9TG8zDBNcT7wp82u5BqRtiN7nVq+RYDDk0JS1OjlZcpwRKoh6dLM5Tc5VXOV/I
fcdVYp56vAbQXvKeJnUAWa6wvDlvYco7jzmxHKu2iY6DUDahMiIsMDeZ+aXF1qnls9Y5X9sRe1xH
kuNEtluqk3BWzScdWu3YoHnMVbk5qOPIdysCI/tt3zZf+2a4SCaoZYl+K8chDby5OWKlM1e6AQ4x
pS0r21gfKV6Et/LG6IPvNQ4TLCz5rnNCmwH9sFVCayIN2tjqeITQX6HOYByXxAauxHhwI70/jVZx
mCRmjXmauXpof8m0nrmHve2ZhDSzvHGs/jI2hwdZrXYC7gPOyvLTJGP/mwoJCW15rfVO58ZLc6HL
5IWEyVYMNqt4OAfmAgSc9HS1E2muezSzxOsQCDZROC8Lwn+z8TVJ2ZVlO3htWSzswtraMbqDXCxr
u9DJQ5ilVV3JwnOEllntnzT0BO6IZmanoBFXxFA7DK+UxT46NhjaZZHitbmMe9lMXcpGUruqMPFJ
wxPCB4NLajRdapm0ToEMQT75oaGBLvKKMX7nt42NxiuuC3r6QNq66rKz7Lsp7iM3N1AqTLnh+CTZ
Zo8pHCYvrIYfSdsfokm+z/piB7ruGDktNOAmJrVU9dS4+WGEs9/3SnWOpolUkeUuVYDvGdwS2IH9
tjCuGomE+VB2vkhm8zDV02HMI/RzfW6RAW+7nRIdVAbK0WRcgPg56Eju3ECfd8AK6NErQT3rWxMV
2v2QSWPqKVKhrKUFrpE92X4m44k0xPRjzMkKL6NvOvIcD/cWNiaMUM6yXChNrvmUC0jnVGU9NQj1
Ag2Gbwdk2unSE9cOtst5AgJdxg9lol6WIHEJYRpXQwlwNmq/4vLzOtnZW9J80ZrTblHZvxpLERSm
4m6apXuSAm8JGE/FlccjAYaEvnm8oPm2uPpi3yxQCr2sT/qrpiNx2MisZKsXMomSwE0Jk1O0ITq8
qacu//Tz/a+izy9LXKrt//nfYiD6q/aJJg2tT7DXxGEJ5sivt7q2hgIwOxo6/pt89Wish8vaBZ/o
Os+31xiJ97Ffut02PlJie9G2XEd7A23IKdr8W+D+WeDSVf6gwGVu+fy/Vs/Ny3PzuzqXH/6rzqU9
wNejC5+7w73+vV/UUmWHHh18UkWnBP2rU2f8oWBMd2jUiUE1bIf/1LkY4U063zYdNuDswj7/D5rp
dPx+fYwc0clHkEeBy1BSe1flapEijR1Ex3MEpLA9T9OXNx/Lb55TXYRfvXsF3LDU5RoIJofSV9TZ
b1qBfdDqXWBM/blfDB+p1I+50s9ZkFwjF/3RQctryDXzcl2rxerfMfXdNnXi9xY6XIwDEB1JNSws
0LytfJv00RqF6DcpUwRO5YikZGIUm8ImjrILZVCMlDl1VxOGAw5zxLQzsDupmmtENSeqhm+nXY2y
sWPdB8iYZPSy9OSZWceWp+tx9q1WhSeM8FlfB5nKfTyUHpOM7CUn1b/20ZSvO/ZuVDJRfVBEeEeo
2BdWZUl+ZjePTkMfRVEBw1e6Pl4m06isNLXs1gohWPjTisPQxE/oC48ACBAT5/NxDEkkz4pyy1R5
Qe5c3wZGtqHwP9lRqNF0KJ4keUTxrU8/8lQCn0+p0ObQoXvMZmHV3VgJ0YtytdNq5ymVpW1R9fuO
cCnX6OerKbX3yTJh11oajz7DnrrlOVAGsM7sUqEjAcCOn7sWWCw2CY5oe4tJ/kICzGYUbB2B+gXw
5t7pLSTIxlEvagOW/HDKNBjvbL1NVW9NKHk46Smd46XbLml22QQlpcUSHbqYAFzOUACcyV6X9Nsu
U2h4LJBUtUW/iTUARlE7RX5vx7uZKB/0xtAvg8TcEM0E+ZB89153/FFm/Ckza2W7HNYoqPbQDV2w
sQ86yNUxMs5mS/JOt1yksX4d5fjT+iDfWPpwisZmV84jQvaEeFI0YLkzbrNhPDIyujGVMl91SfZA
Yum9ElgPZtCvy8bc2xjrpKl5oqNEb6qjNtTaLyW/PHPIaSPNy7cUSyMcQrcJDE9Lp2M1Jvaqr0NK
3rngL7U59HXYnaFpPbEK1kmcfAkDAm+ntkvWUt/z2NQ/5jLZ2viadK166hv5iyTJN60l0keDBF2g
48pG9rKkwRWY8mUVzeGRgQvsPRiKK12ybqMFsQOpyW4Yh1jR8vzFUXJaTzSC8LxYxskW6WFxbGLT
qoj/NMybxNEf+6oN15KKT5lbLqsnGW9kJTlIPfm0aj1yia0n+KKKcT3ZuEP7mSAeps4pabBa6ztZ
hSmSPjf3GPMcdqrpxxjvZLrPnlMHgOQchH4E1lolEjsT4UbeDAG981liTpbEQ3yemhgFeWXKlLvY
lzUqHbeRUkR/WRl5ekSYQ8Z12e8WfE5FF6TXJf0Ccjx7+VCZgo86U1PVzaFDM1fpVbvDyUtmmIb2
RVHrdktGSeKHcX+kE0mMa1oVG4UuWTAtjr9M4g6lZ5VfdnVJnynOLqxMJpEhk9orYK3weYPqq7HM
902gPVtpvWV/OyWRwgGrYA2fM+kYILkUwkxAv6YxuV1W5jelgbJipVhB9tBDPR0HzJKqal7o0CHZ
WVzylD38Kr1XVsXBqi02RIU3bY1XRU+IWsV9iT1qHxKolWm1j03TrZbumCXSJjKik5zJDymaUK2X
96MTZJtiSp/0JDBWbdy5o81FXgF3uwr02HqpRkR8pEtAQtbrMb9NlXxcE4i00SwMx9pCgnxkLyma
vbg5LXZ61tSK2WF7pVCNE0YJdhfjMrBIw2PL26lK0PuhZja7bB7uTKm6hVHickfsM4qxPvLnkbhx
9px+P8pm+VToxKZNsfQDKQ6ioL4h8wrrlNfgXLsA8YvTak4p9LGIDBswmvOGrT96CGpeARrGbYEe
CRcFdVk/N8kesdG5YGLtZpZm78BPRyu9tG6NuqR3oCe4vnKyG7xZDwI4S/WtGcy3dmEsj0tQEK3Z
0zEw+lBZWeO07nA7MLolfZe8g9LN+MFVMxj9IzY+DNP2HJNeHo8Rp1LUEcxb8BWP1Vqz84bLU/nF
HCq0QQhDLcrjFhflbO3Ter6To8QfYnDIYJ7v+ky9tfvaOUzzNOxKKWm8MshwozFsXlWy/IX7peZp
k14/9maleFVJKE8a8aBjQUWfFWiP6uR0N4FqTGu7lxzG1PL853z1/5UwCTCHCoPQbzT8jOyQsP16
OMNnZm4RJsW5I1zcmJadYY5XY9OuP64CxMzxTRFg/8/r0OwzmLqx7N8XAZ214G6JinOeZafWVO/Y
lS5twMhslw1ZfVhbmznbDiDHMzvdtmp0jGhTk0NwYKc6GkinEie9iqDpmrXsa1HvcnHDGhp8L3sT
rSZLgEr8bMoh5drPuu43Bcxv3zmjUvqNusG8BsHD2/LFyPsy7py0OI+koIQz6GcaTuXx4xd5F47D
5yNajSD9RLOTmMzXeeqbIqntUxIh0344VyGQDMnUd5i66bAFZKwxlSFzRBoepSorryDlebMj70ab
4IFyRskWaEBxkhwW7tJf9ZHm3BScSn1JeLOMx1Iv8cIbDCBXRhmeYyneTwGNolFl3Zg5ROuZ8I1r
Q8me0y5D0xXGm2UE3tEqph8ReeinnfZVatS1UDO47EpMZHUH4EOtbZKIQGiOIuHqNXf1on6Pdet5
wqbWgyhfYUA9zYs1rCxrlrayMiYnOapyqAlkzYQKgu/IIVpFicP7oFfy23o0OD+UEGR2BbrVrLqt
qYz+UHLEKbTp5sRK/UpWLxB1Ft60IKOkHXMMZDzL694A9tHLX2wJP7k1Kts50ekINJFfVMXCZb9Z
aQy2Fp3SY2KZEQmBKWOS8m3TgSLPlWnfy8NzGqvR1zkzNrKJZtrKopNaLhg+2noda0SYENh7nZtm
dnZ6ZaWYy3SorfbPYet/XZWI8d+vF54HFiSj+lePCyPAX546eHFlwZ8hcVHUZ81pEYFXQ3Y2JSwR
7KdPYWukaJMjVzEnD0ueyAXKTnwqxKhEqbVVw/aEInA1LurJKO1HskaidZsb9brvZWZAhtoziYIG
RTQ7XalSz7cqh7o3AizyUJhTj7ARyXlZkKVS34Q5DmIlwnW9jGjLOzwzRVWvzXz52pTmswNwzR2U
0nKbXL0z1ZnamS6VRtCqWaJlbECDIwg3HxPbhPKkfoObKrIp2QacbGsW023g0McaGrcuNVSrM09I
xaVdvTGG4ZQm0Q0OuOvccjbm3D3aZLWvqBtlHwsktWA9MEBivGSLGZ2WQK8IVE4OU3qWeCbcytG+
KJr0qESIbOtu0fwIePawADCRphL8fbOR5WTnYEBTS1wS0eDpKbJw2x4PFqE/gGfwRBI712fdrYYu
yLEnRkrzszbKX2uteS4s0ydECBNK4WHhvEC9drQKcz3SF40wZbtxYUF9jq/SSkp3s734ZQshPkN1
V1HQlGbIvYTFOEjO1Vh3P+jWB5j20Tb2ZJ90hEZC9/LUkH6xYh5NDMugX/mWwD/5JAdidKZCTfvo
CIjGh4nzUJYA1KX40oj0VRiVazWVDjmneDSGW1shJKFq18wfC2cH50BRODWzYFx3HO8oDiuCEusE
ZIO0wXF6WGgRWg6AjVEJAU0jocQloKwTdKY4yi8DW9mCyj6EY32ErU3V22XSRVaN1XbOrL0ejodK
ZVoBcoHvpiLjYpTJWa3Gk9RyS8hMuqu5X/ZW4QbjpWn4Voom1T7T3zTndYlLxRoeKlnCGCCfTIPo
1CnQj0k0Eu0YBMGhVwfLbckdgxceFJtxIJSFumFbzl3rzaa1bQaqEIsWLWRyou+CRvnkaPtkpWrv
xGhq5MyJU6U9yuAQdOkJ/Lw7DTlzyou0OSncWD4+Krj4/3qS/rozaO9OUjWKCm4X7Axl+R316DBB
qDgW4SOOno9fyPhVw/PnmURenK5aJKQzqHvXYRpbFJyJPEwoU2cGy/HUunGgijyqcheVEs/cNByq
CoVASbDcya5tY2UmJUFVCfN27Pd8M4r0Q5ftq6nQ7BWtu3spLi9K2brJKN+49bhdq95MYTsxEwEw
0cVPBemUEr7p67BPB0jgUbfJjf5gMI2isPBnBc0yJd6GOYD14KjOTbUA6NaMfa8Ry6SphyWcd0bl
XIwpaG+ObUtKD6lasJggBES2O1XKQ141fpwFO8LWsDWRvdwZ+fMiz4abjeGXenKaBzUUc4pWCz/5
VH/tt/z9QxVtvTcHfWrqBYl19nS2p6doeZntT5Dhn/397w4OWcqokcN0Psf2DZrxVa3dffJY/Ob5
e/NUmO+ev9zMUzlVw/lsqJexjjCj8+Vodj9+kV+bm399SujRKEmBrJnvHr3JakdgNPwWjuqq3ddu
zKlJ7uLJ+uTbEHmJb1aT0KnhyrdIAKL5RWn6Sg1+83XMSVwAK6rUM2XMVw417zZbBx4hU6vYfVgV
q4ed6Q7Hl2tQKveT/5z58wsrut1qu49/4ddp8htq22sB+PbAf1eIOyAb8YqzjXTrwZNd2Z9u+k1+
Fa0d33GzZq1s+JzXiovQfhX5DKYGXz8XXz9+F4bo9r1/F2++XENsPm8+DuYUma0i+j4/TjvVt1bd
2rm0Vhctjkhv82C4RyI7Ns45Wk/b4sbY3gYestQt+95q2RDl03q0zjzHk479tti0F0QzTKvQuy9X
/ZnZ6sbYOTtIYNvmLl/ffPzWhXTxw7f+7gOU1BZaC3EtZ5QkK7Isvlfr6lbxwC56gRd5sV+s8325
ufx69Pud4XJhT/b44fbJOXQ5fHwzXX0L3PuP35X6a/Pzrwf55x76Soh484GSTzw0lsm7inaoiN1l
m2+C20JeYV1h3rcKVo2LcmZjn+ut+kQjzf/49cU6+fv3+Z919G63YauR5raap7O8lL41joeFSKQB
9/8nh5LYVT56nXe7jk0e3jAs2Xympl4N41d52o7my6z5tcz4tlp//Fv9/qv++Vu9v0xKOZu/USf9
OUI7NQfXVXj1//cC7+582oT5x8y5QKXGQU3oAzqW9/ErfPLFvErc3zwXUl7ZhTWz0EoSyOHBVerj
QjjSxy/y2ef0bhdtlQzIlpV050l8K8y0nCn5ZKP+7Pd494D15dL2WCTn8zhMEI4AnZAykl9+/Ht8
8nRZ73YlMwilmeYcpwFiW90BlJJ1F5rWu9bcErugngfY6h+/5G9/L+OVfcB0jfHhrxshgGoNvU7X
n/X8h0CDaBFNvs3Hr/Hbr+fNa7xbNBnEIamO9OlsJDr9+6s8/6Sr8NkLvNsSlzSftKSsh7PMpk0z
GjX/Jx/TO6r+X/vbz6VoigPlzXMcxQx9goznmLvBCjfUHqriiSuCu4dT4ocXIGo+GXwKiOqHe434
rd+8JFkzGrqZiDPqkcZwwa4KJXiFGvVZOS67YXW5AHzi6Db83GVOeyWtrjtfnOqXX+pLbc+tHcOW
P3erbeFGm8/e3m8PchDUP0uX909O3IyyErDolAtxkEurdpPpu0JxV+lG9x6K1R4m5uGH/MLlrLmb
D7ihP9m9hCH2w0/o3feOXAdMuzNTS3iDh2ieHDaAeYfMu8a/eNQ2vfdFXQergo7tGpTB5vPkg8/e
wnuLjjT1ko6HpjtLh3I1gSJdJd+MteJZh/77tK38/GhtpI30I/yiudMmvQi95PvHq+v14vXBmWS9
e07SQcv1tuDRbNZoF1agOEVVt0vd22E37XZ4/1fLGXvZg7wuvXxdbaxLop693o924yp6yj7ZKV8v
Zn97P/9Z7sa7i6ItOcyGCraU2tc35oY4qGm9rJfj/2XvPJrrtrY0+le63hwu5AMMetAXuPle5iBy
gqJICjln/Ppeh3qSLTmV557YrqIpUiRwwt7fXis+aqtXPGab1HP21Y6i3mnyxP0ajCm/om6bbm5j
Xx4S/ns4+Hf8TeOd+17i9V9o1H/lOV+85O//+59T2f7P/xXhe/be/sGEDZ/6vXHPFBwVa0Zeqf5+
bcF/C6hCFwOujFkI4wHpfskk+9a4NxGOIlFySKDCHkOZ8WvjXv8YkCPyb+k09i1c6/+gcf/jDkWB
k3E6lQAI1xeX+QJVfvw3y2DikP0cCze56PP1YgnKfluzfvzND+bq68P5Q8jE+XEp+fpVmJKnucUZ
1jF+vhDUQZwx62YlF10JHtAvHbUA/NHMjhcYerpOIOF65axrJxHC7eurKPGyJTgOmZ7cEGa8zmJn
q1tRDL1P7X1VUyxPc0Cc0L7nkhPyqun5vh+iczy4O/zeJ3UZr9tZP9dLeZwwPDLbd1ATkq/5EIZg
hWt3I2T0PeipEsa6+6ZN0UhyjuJ80pHJzbL+S0ylekX6nSN9E/Suuwr4fFKl7mpG82wfRmXhGD5O
qCGVlnakSzFi6hcmGtKuAO6vmw8BDZOtyCzjWc8VCvKGStVNTSNK4n1dZQjoavz1kFv92UnVmT56
FSR7mo8diH6DPgTQm2krerJLE/hOMCRGZTgPi17bfkYjcNso4Ii2WjlOS+1VGsGRGoh03s0BZABL
uXRqXTnz55PtAvWSsqAeS6XYOiVAV7K9DQMKDDw2womBPpvpoQfz5Vzx9VrjmYSgaI8MvkO5DsEv
l6KxpqtIQ3RRh7N7dBtbHAZCnE+Su/AI+ZMEZTbDku+K3tw7wN0aupYyFOswLWJ76ti69yWcl5XN
9OBaoYTs69WEPZBUqleHlFwG3Rooifdi3fEzPxXB0r60UUjzC1bLPGFKdet4r+i4tpk4ZRKLBvzN
MvSHRJ2ztVtq7g3oM+aVkyiGJuMyzl/lIOlS0x9K9o06fiSTOZz41Q2+XcfLuukY4YJjwoAKOJyD
vdCCFB2MVUqQmle4gdRQDzq9obrd2sawG02yj9Gkt9c0LDSmH/JzXGTnoWm5GjbxtVlaeyfquS/a
2Y5YVuqHhnrVuuMt7c/hPhwm50tJc7VNUt8eJ/tLCU/aIkuZBrV2pyr9JrQ7euplunaVnPQmPauJ
jCZ9jLe27d65jb3PyfzAwJffGMOBXO6GBWQlzGVrTup5dgbfcLsdA7SnpYn8sBk+q1Z/rnNlk40a
sxE0yfr5tSAwG5avAdx2f7QzgwmTkG/CGp4sG7bmYptru01bQM4jYtZxOem5TnxQP9tVDwA5far4
9bUdRBxaDOtgsBGCkplUl6cpaNdhHuirWq1XRkCSQWsLdZ9YWuJrc+RbQlzxd7yhx0v7JV5Cn1pW
65mDGp8jk8wiaZHrLivaM3XsY6hPPMwwmLMahC9QVp6yfD66vEQwiknvNP7kOCcHphZE20dSf15q
idteD6+LujrBJiRa7Z7yfriO3PiQwaDSoRczyTOt9DmldBchD+sbIA5ho16kSvqM9fS5SvND3KbH
MiP40mvXC8jhTC/8ks6jZSawvOv5uAjBnBADLMQIXmsaJr2Ld74hYUrSERLNeHBK/KH1UhSHzinf
8jkQlA8LHI4hGGlrMtJt7VZbumTKzTIr9d9ccalQ/nCI+1h5CWZZDuwM+CX8+8f1PZq1vJ3tLL4o
61RfD5k7r8Uwp34Od+jU5aiPxRBswjLKmehZ3rWqbq/rOlXvHHjfq3KabnpQwxDf/dQVj+rUbevI
/lKkCRLdijp6mATqyp45/Cw80xk83zKwWo8My0JcAIKkcLrdUJafG7H0Xpy0DzpilPWgdYYHkaJc
ZQRNa68Fo1XB4u+ovmtJs9XN4SrTy22bi7c5y297kRz6IIX3nB3qXj+JqiRCr7uQHObSb+d4p09A
oFtwOnagEFOE6BHy0/Fbtb0x517zqsg+qJHLe80k9CnotG6VNNM9IRITWBrhbX3WL80YrldtS6hR
nJ6HarmI2mSfjtbWQmtJerveBwXot95p0PM5RF+I3Fhhdcowza5EoV/GGdTXPkfVpDcrvsuFfa3d
lElzSWD4xhSAvYZiyHy7ADlsSJxB01zRERw43Lrgjprk3pxNTCRTDDsCJfDAwzTxgDrNsknT+i2t
1a1W0Wk0tSfS3X5u2J6NSmFkHTLa8q10xUmtVfJqrvIW0FlcVXq9sntAlWmWa3ulkmtZd4qF/UlX
s42qwihylPRpznXNS9o5hSMaXhqLpfkfVGGzSpydjlL3oTRA2hINbs4ZU1b7vz4k/HjL/HhQgbDS
qWToxuBG+NOFJ1maEW5oHl8ExHyM5NDQWvzrryDvKz+cnA0qtIwDUbnmYuVIUsFvjzqGjXPHccPw
IrPRIduXcR/v4uqmGZENwB8HrLxxk/Vff02CJH/zVX+6P/RV2lUmGoizOlPr1HXaz/wHu+InJg9x
JTMw7HWORWDM2A99kXrD1IG+KOi2q3pcekWzfCoVcYo7U/XaPGLSYdQ+O5EpfGxt9zYoDJ9C/VFk
5pMNde6gZUwX8TQV5bpfRLF2KoVIZDU4nijmed9PwvhcFkm3MZlDBOYdv2Y8q5TY7MhnBZ79Dk6S
x7jnLcmmZct6eN+Hg77PQ+Mqmru3hGQlm9Jd2zQbu6WDplvJzlAjZZ2onFCysWDAZ4EAVuc2MZ0R
F7SIpxs9KpD4ELlH/g0Ix0Vk0Q6Eekb07lW8b0xlN4/m3bQkj6aaHqyuBFuWcliLAwPGaRcXPMTW
Pl0SJgVqv5gD3QcfRj8nSFll1ccBx/cqTnLyjtO2aOj3BwtPMNi5LiRrwdxnmSC5r5bE8ZssOFcE
l0JQglpJ/NoJp9sI8uJqYqyp76ADGQbN20V0W4UhjJXWly92CAFRza9rUA8gSrtVqx1w+mIatIyd
KMisVZp2X8zRDj/G5A9Nf0EuzQQ/Z+2ZOXx3arS9gUxwWeY2rMyTGP/udijhGH/5jMuD+G+O86PJ
EUNfeNrAw1+FF8oGluHDuCWQs7NPDluP96qPK+ugnYvn8W9KKh9pgt+/YDKZY+Mcgqzx4xeH9eAU
0NyVM2i8VXHSvWoDWE87Ko9io67V+0vFOz0Oa8bFhhf+kV3MJ3V1iDfBhZwB+Zvv5seNjwWEt90g
koyL1uYa9fM9eVbH3NS0JLqI1KuKilWsPjbD7q/f7h/XrN9/jZ+aWEuT90oUZRGb63vY7Nz5b0ow
f/h3wPwIaIEZb8avf/yB5pO9KGqMm7tUrmrmuxqLM+fXFerf67tGxe/Pr+/nl7f3P4rcy8/6fnOX
kXvGMlFJEqGHgfGbiXz1F5wq3N25sUFgtvnQt5u7+AWQm+vwG5MCQng1v97c7V8EFAvH4ROIsZPL
/yc3d/OjR/rr+0bXEfQrXUfqBGyfqiO/id++7MSy5lbvtPAyQAEk5pzYRIuLLJsbZq6yxyplNmnq
XH+J54MAz7wt8pCtuydCpb2bylB7o4u70BhRyonsOOGVWy1uci7giBOiV67leg350ok5cWcPICbT
VRC77tqMq1cNBQpbBdVBWGyDNjzZGXr3JF1bOvsXnMtn2818hcvDA1u5uis4vYX5GHgisAafb7sk
Q8STHSuMdmv6U5+RxapjpvZbw2QWnPDaZuqCL8PYvgPKAYkPaXrtlAnWuSa+LdPoegoL2u3jAwAt
pr7sELaXxY0uhdBmIX/yezviJ4DRnUh6+dmxklfiwBe5pdqkiPgr9k2brttKu1IyQ3qczmW1HJMy
hoTRWCo3Zv3KSpDJFgb2nziTydhu8jJOF1vbrBhobMfXoE0IuWroOtLIYTycuTo/U5O7YZivIHyQ
VlG7mr9SBicud2/bnLhOrl23xdhskszMfcVdjlHmHqJuOlZlpHqCnjXClGEfagTiwpIsL3noclX2
lrJR4tbxXUQx921aMl5HUHjdk8D3CPAbB0hHODbS6Q10AenfIdI8tVBDv80TZ2uAX1tXoXGya21f
m061AUUbXM9KUa6iunM3c8hu6ma5K1M/tlf0RXRd2sq2bCixxoJDbP08A/zZtqEhSQ0Rl9MQ4TKm
nY2AFQKiCGKCXQSbLqyXtRCFWHEufoUJSwldcG+DoZ6vs4LNccqD50yMeztE3hyTWvT5Q2cf+Dv5
dmh2DOqt40Dr1lJWfdD1Wto4GDXVh8lPJosHsocKo7amsWtI0nthv7wSezegu/YczxUTsXtayBnn
UuA81ylgz85Z5EweOpP93lRDuW5c7aIYGbs2Oh5l7nSTHw5wEquQupSm2LdFZDwPIiV5xR1q1Toi
23XtlHltON4qc9DuA259SNcLSKQAZtKwcHy1H3iMXcGsIcC+2szMnZJbT26if+a2sxUY5tf61J6V
nORLqDg1+iuUalH9eXbNmV8+aW6/aF37GkNRZx60hZoaB3SLG+vUzPnKGN+zOXqcGF4lkeUQOyaK
t5qBF85GZ1yJMX8ai4oWusN4GUqWnuPG/DBx3+ZmNBJ8iklBjW7qE++aPaYoH52yx9eegcKJS/yT
TYz+KQrtI6OK9ap2IlKZVnG3lMFlY1enfnJbvy+LL3FX3+pGtC905zg4ZEe75LgsGFe4OEcKIfOk
wF42A1wwM8pBeWPeqKU9+Bp/7oapzaNjUPXhMrgvRajTOOcbd8Mdk6JH4BVf7E5sGFWXS5O5LqXW
CVDeiy4PebVUPtVTN67iDw0UPihnCqegR53WdY8FHFpgq1FlLl6kNOWtQdjwgavsSGVCZ97BVlGx
7RiitJ7DtLQOHYKe8CoLs9DZd7ViPgehrQfnxIrTbY5tze/d4FGjMrG2Jp1HIwizdcDzsjNLwkWg
eRnG5LlbWxWXfjl80Zs94ysAOigT7vCtyBxere7gcBco6oJrh4HDqWBye2H+xlPC/CojbHPfQ1Bf
51XM8pRm+roPky9hI64bWy13ymht5ritdhmob09U4oYaD/WE4aG2ymXDW7x1AshdLpHYWl2uXDM+
9ilRpKpSX5hjHpDejcgf8hsNb43XdUG7qzMFE1obXM6pqntzl6Y4JpOJOPSopfui5KLYGsWLKIdo
beh94xFBOMVp8ll3RlYD2MKIq4p6rlaLw0SEafIeZgNBPyW9U6cTDEw/T3eORYVo2XLb2iqDcxlq
VoysKPliG9FhyTsu1Ia+Elm81jiwrfC2DOtsqI0V2IPbfDEmZodY/Zo8DzcFs6Bcn+i2JHoM1wz2
2WzmW2NQNS8fmdPS7fomTizIMI04BVV9Vbboi7BOUG12lLs60i9Mhi98K1Q2pABbzxUFMNKSYc76
QgFpiX8OIYwzvCajHW3HKTuODG2uuJMdg2p5tGpCXlV8OVtlTqLIPlQBJOM+qTYxWeqqdZ6p5sdb
Q0WyaSslwyG5hp0wZnCMW3YxkzGjNCVcyKeabr7bMMA348JiazjdMWFAd5WL1OZ/nDYYQA9m5zAz
E0fpCgXR3rUF67Ohgaoj4a/Et1mQv9Q9IxUQS9JuPg2l8pAa/KpVfEtNX3YsN8Mm18L3xHV31lgy
PsBHg8r5gizprWq1Y67/O8n5n/+6EDjI/fl58iYe3ps2fnv/fTNItvC+HylxFnOgBD3yjUjyvRdE
m0hAHKEExOAo3JFfT5QmRBIs40xYUMiBNsy9qi37Lvrf/xgMcXLDgZBGvo0ZTrrc/6AX5P543+AQ
aciRUC5LLqYGICQ/VUgiveA+2xv6uSnruhInJfvQ0bqm2uYMWJlJeun2upHikAoYa47Hftlo86yh
zOtiC9atml32Za2wH07K3rIK49ynCig0vS2OOafU29lgFWLAqjoVcVe+dmE3HvR8TG9NbWyOZgni
3usm8U70GtSt6QQbqoGyglB35XOkqqoLDYnNqxkZj3MzcPUaRPisAK2EuuGLYsTLjd7ace+5Eeea
YmZyQXVwNVR27U86LjCgQrmHzSG9yvM+uNMTN7rpKyWLblXAFCFtdqHVyx4ybUCdnGg9KxBmnFDn
CxLs7/XVwAQudfV5dEhv01obrptGc0byq7R8fPwQg3ph2xAQcyuuk3sFdDuy4iEVwoN+WDMz0Rhs
5NYw189p3xt7cwAptXDN8ClWr5pqPjhE432tsCJfHRrXOg4VAXGK1jYzZhHrLcC8lqJ8PVCpnOPC
MJCaUahkegLYcbmYN4vWDsT3B4p4pUhemUyMDhUlpuVsJXW3J2QbDzdUQrTN3FjFYjDCZYrxnLtY
JpTtx4vw7w1T1vr+fEU4vzQxQsCX3y8I8vO+LwjuL4YqkJyAGf+v/+TbioA1xSBX+hVrxJTGrwuC
+AUgoqYx1GEycy07wN8XBPELF0s4jnRZTYaxuRP+gwUBfzBXyJ+umLDSWXOYKjKh0v2UNkgYpdTF
okeXubqYwTkC8v08aWrk7C0Y2eFVybnksPS1/WxH5kgJRClq8AaTMj41i2gfANWUt64bWwBNjH4s
N0YhusfW6JkCZBJCrO0I3reJ3nOSns9JGj8z6f7UJ/vKwQvErN1lL+Wg2fxCxPZFl9ZQyol26+Rr
bEJbXapF9ZlbkoZtdBoCBg+aA7U8xORSSEr7q/VCdX5JayYe67EZmb0h6dNKlekspaZgYjdZMTDH
UWBrs3rmGcKmIX8Y7KrcvjEHZkZiW/NTg15EQI7daRgvwqNa41Ot8KpGToJgVapWCyldBUO3bB0p
YqVzSj/CtKAli9OAq1Uno5faRXbKsbj2UcrhPNAd32yBS5hN2KzyEdpFhf91qKv72lyqs9GAEl8K
jkaNw42iyWcmz03mrhspk+0M2qdTEWYnSFrAKatPEFpBDWloB3u1eQeNNKNcmbK10/Y7gnxbFXOt
xpm2EiLh2Oh6pslUAyWLDQcGCBvSWAcSFhnu4Fi7uOC/zGGCYeGWDwXGXA4v1w70IbwRr1oa3dlS
rdt1iXkKQCfFlXIdV1zHB4vhsUAqeUMUT6FkTpYZE9W2fWc2KNKpvOJbLo4LjeVKCn5TqfotCiFW
3M0SpHnTEfGI16njwOxZsc2kKlg3+8XrsAf3WIQTYC++LcXCnG/XTHndIk5BhyPlwxEWYrNGR9zL
qzMBP4eF1dx3UlpMA3hCRNozoIvQ2DKii0IqjmHXUwXAetzMyedgQINsR02/sjAji8Z5ZOv+JILQ
0wGGZDlJwUl+G+pwo8zOpg6WywyOFCWDjRtc8bCWFyYu5sxNr5bZBtXPba2QuuZmirnySYWzisu5
s3nsNOzOJUZBxkL5xhXnURHULTqpgtYSrJNKE29SLNFWlV8aWKNN174aWm6O3dDQ5hHmRjHqZ5Nx
4sjS73OpnrZxUFe4qOd4NKAZ9kfFpck31BzI8VY7iUCOPZ0bu3/X8Vq3+K01YZ8SKbxWpfq6y1xc
jVKHDcvuLZOCbH0B5OdMWe9X2LP5y9urbow+1Q1ibU3NL3VM2xS2NxCsPitK4DlSxS2klDuHvNP1
H5ru6CikuDuyKWbiP9LJKxbZUclQv1ofqm8UUghz8hfIgOm6wweutcGnTArCAWQ2dEvMnessp6zo
zr3GmHVvPo12/oKc4LBYfFGc40kVM4jk7iNc5G2mbk3c5IaUlMfYynt6QyvsusVmxqJr6tI/p2lc
cCPQBJ1xjLWmuG6nNGgP06DJFm4xMBEMpMB1a3rqifOI+j2jLJMDZ6jpZ27qTGW4pJ3p2RUlGOTJ
1K+m2TxQudUuIl4sj9+5dVkI0mvWAGOam+30uNRFeNMA7D8mZmJtO34E6zFTsp0GPmZVEeUwViH8
abwkdhftOsWAIUkPhTnLSoVtkwTp1/bYv9u0TBX+xTb93ry+v/3BJs1nfduk2YlV+CaWRQOdSKbg
Q983ae0XDvO2yZil0Dhd0bb8tRBMlVenAuxybnchjf+6S1MINolcsbEavK0Eg//JLk31+Pe7NFcH
k/kqCTM3f+51GIo+al2dppeaim3ngGujUr14yE2F4g6qrHVus294fZ3UyBExqpKWonmxI7+oBsm2
kBVA+nBJ5zxEMyOTgKvuNMNsMCxAUfgUyKKA3RWk5LnaePlHxUAOeic5mFTdondKXaFM58tJwXDs
Cv0lEDrDEU16rKhFFDbCVkF1AsrWtpLlit6ZHqjcvtnUMSoDllqMC3EXTvCHsNfvzNa97qh+DJyo
EYXlLDWyNFKNXXofUC1Bxcg2oM4kPSbt0qGiMuZgoOCHqLtQllumxtkNNiTXPB13ga0/mbI0M5Yz
yEVZrimJM69dWcKpjJzcEAEolruA6ksdferTuvMLq0q3Ycpbtsj3zZBvXv/xEo7yfQT7wqtZf7ym
unxjJ/nuRpEq6Wa8z618s1X5jgv5ttvyvS/lCgCv2bqM5aoQaqwPMwtFLVcMbisltRhWEbum6djI
lSX6WGQGud7oLDyBXIHwJFH0iFj4Z7k+dR9LVSJXrUCuX07VSISBO4Ml5IRTxwdTIErZI7BQ0o2O
inuYRap91mrD9Htm2USdQHMaejAnDvV8RnmjAjMYA6Eb1cqvzcQFPYGdHpNCk77TPHgEzXcqVarK
2NG3GUUjD1z/uXGVc0toCTNW7FsIr6eoOFR686Qr6SkZCZ/Ven5nhNG47qTIhtoM2uSLIp8og0Ud
1zErmWN9bRiDkVCjj5LlrFloUFRkpmkF8towh2CfztG+zyX8JKBWCRLPWedL+LpMI4RslWGYyg3y
TSl3Ugtbmmc21isj5I3cxlOuX4xzGtG07rXOF1LZNnUT0B4MZvEAI2NGzLcKSHx19pj7jmpRd2Nm
mRtkSN2U/zORO7TmrsVcAVVTZbPFcgncLiZa6SgmqT2pF8LCApA2FKnnivyUqnZHO55Qq1gU9eKs
VcCr6M/2BMAmmMvbUUAUd+fR9YKiFahdqFVRmlxxBWAUSoj3PAjfspKDKm+X1yVEzhMluerB6vAM
6GtN7YXXtzPzr5pk75eji9RLl1jN0C/Upgv9wOo4sChhuVAyTUSZHoq2K+/+veZ9RXix3P75/nFb
Zi/FHwiGTT7r+/6h/SKxGOwPgB+sD0j39/1D/8WEZwODC2jW127ht/3DgV7r8oxD1GKv4E736/4B
o9YgzEmii/FXiQT7J/uH5sjG/A+3PDqWEudPLxPQv5C1p982Ek0nTxqz1+dLB/L2lUjm/CbWKvGJ
E7t+mMeUcJBGOd7pBvU8AkVlCmiIKGUOy4Nwx+42UstsuyxafLQpb6+F0jVYAzGsE3m4yKT5ZTC0
4GRZ8DkNmnqrgYYB6w8+HjJ81bRTHPcw6QuNsg5SCoyGFNecWmyTAqkMjRBuO1U7PedRFB7KGo29
SfDK1wtVtmWcCs36/ODqtRdlxssc5OLQ25qz6bidHou0dKFQj4xTd26Ah0e9TI2eUcKYlcu1ua1G
aHENyQQqXaNjMDJZOpAhSfJezdpoXndF7tfLEkp/5FM0hQECSSDUaXVIcDp5U1Kke31xR6/jPn4V
auEnNZ0PcW80G7Mqrq0S0AhaKmXb2eFyWMLeOLBPiHWGkhl9crsn2eP6RGdMLOGFuR50PYBXMTir
GDXToc6rEQPxcL00bHFVBuASNtCyUixrndD/Wemhe5EYcByGmZ+OQiLhJgaCi4tH0y5b4GPoDsZq
X0ftAY/nM3W9aZVn2BDxoSVrqBuHiHZdB8eXX5gy4tLKpFUrQK+VmADNpW9rQryVfxi4Flxcg7Ry
Tei58H+i/lO5YdFUdfyxyDyCgbe2Ia5zERpMdk9bHd2XnoydezKlA6xBBjbU2lWJHEwNWwEJJN5X
aMNYm8mwIhILpFGM0DVIKWkZa1urIrmUH1sEZJYlJcX2eDtERKJbSOeswtzjMTxdAl7dFYjMUDuc
ksk9V6O6jTRMZ4t0ntmBfTUHyWZBhpYvccd5Jt+4JnnvRQrTCEjTLr+nZ5/5C0o18F18BMlarjef
jRHrmsuuBYN9W1rzPXcc6S+sGLKQrjYSxEiF6tRC66BLtDNq7sYjjQnvOSink0tDjrcij9OTRv2P
vXbOygM7leELrZlOoa3H+38X44/FWGZg/mIxfnltmM4ouj9YkOVn/mZBBnnJuAOVNxZZueB9X5C1
XwCAMbDx34/wWb8uyMxpwBmQpXHK7oKoyLc6PAuyJtXGXBCkC/6f1eGBNv5+QZbLMYdkTAsyw/Tj
gmwkQ9Eu5TReTpkjAR4x1KgBKlSVDF4upm7Daa41VpNlDk9jkh9ZHN0trEdB5jaOvQC1jh8UjnYT
hvYas1y+ymfoIbYaK0e1W16sQF+I2Xfv4KXbtUhgTlTYR/F12mfSqehMBqPeVNNQXxBLWidYSztO
bqOKaTbGZ5p3+sFstC/pND+M+E6FmV7W+E/BzOzcmI6xm+Qw9qQkNcmQEFDlYU5JNanEyQaliVU1
Eeb9aCvP6aC8j1K7KhMq3jTO9B/L/A3MIpRhVbnoqLn7nG8l6hud3+AyECylrqQ8NS8TQ7capPK1
n8uHSDpgccHaJTgh8aGH7eHHYT/qw3MY7+3KuKlb+2wglF2g+8zFla1Vo8/JFiaYvVkg++V0HgNs
tFFh3Q1ST6smX+bQrMj+6tdOg/TY6cFSDGGLuI19Ypaa2z6LMsIqGQ1/F/5kgw03Dzt4ZwKcBpDv
xDOyqFmrUp+7lLSlWZsXrw0Sd610duub+HbTCEBdrjBW1yvJDRwlnX5FVq6S2aTAEpOZsUrFODdS
4wvTd/BSR6sOi9LclGQS2BDR/iJB21uqFvuNgYcU7ou16wN3Th+KUBHhWW+X/DFpLSZYspy7i5cN
izcZ9kh/Mx7XpGO/tC7pxWi4jLom9YycytC5C7rWfW6sJX7Ls1IokJUAqsNsAJDW2tqlUIH6tDSe
vVCfi01ljuU5X/T4Ht/fQ9PFE5srQMl4yj2LMPPlaCY6DMG+2eizc+cW497IrS3ej36bwcvcURS5
V/pAo345GnBa4MUPIxep3MzrlWj14rItUE1z6oWmNJynaC5JbMYQekxRekmdTVfFXLZrpx+rO6IA
n1uCQ0eR6oNHwPO90iJmi82ZTZn8h8LlEUMmMcVcsaC/uF2/a5iL2emNnd3Wds1uVYriLtVnSqZa
HOE2rO5KB0Z+Z4Mo4QgDAMnCU8LtuA+URJa5Ud+V8yVbHrU7A7BoLo8gVqyP1Ps4lswxw0PdrL6w
g3h1ND5gMq6wQXKYKRkp8UPTnVf6ZCp7RXHH5zQZx1Wx1IEfO12xnaoyfU0Nq91lPXwt8HtIMaJp
N8jDFIBJicbDTriy5WFrlMcu8J/O2Rnmi5b6BQEfhZhJGfNm5gMzjaoz+R3UyrPiYAJoIWmvUghu
/6YMv3aFdZbuP9+Pzggs/qC0xOd824lw5Dk47iFb6abLUZ8PfduJIP5CZWYHoMFjq5qMH/5mJyIN
yv5AAlF8nSn8thMJifUlx07EkLqT+s+mA9Fj/rwTOTSZbEYTkYCBiRY/tYTbhUR4b/X2RWgUy6mm
mFVBU3Wi2vSVKRyWZbUEPUERBclA5jtdIMrzrOakYfo4Id7eWWp2dvpYzTtOqnyNEPrTrJiQ6HqK
C2u03HoBw3W0WD3HLunDx7EnG+UvamgSDUyZt6v2LZtNBdjdsif8AIK8SKSU4UZYjeL1U/Goqz3T
FITBOtnCaVt2hXpgBoIsE2DJUGk3QQ/1t6CzXdiM3eVMZ83qTTHLrJM2cY4LKtJ3+bGog5M2Tg/g
LqjwC9oXVZVv+2pPyR//bMi9OraT2EtFR5xtEtynHVKRfbAw1zEtj8DFrjR2LIJvxkrpW/BkEzEo
Ir5A0XLnwD72psuiQ9wPn7rJIgcSZsc8Vi0/L+cr+O/zZrQHRjp6FlSO5J1niGXy045BXyYIlvVs
NVBLVX3NTNfsM5lEitMZ3hRzOhLnIS7SBI2XB9rbxErBLCDgP7XeQV/LAIhnp8TRKy9umgcGHzEW
1uMJaGDvDTGVhAVqmkK7oxY9g91p4OUKmdKgCaq9iXViNZnlRaKXN0h/vEBUR2CwENm5lQw0IzSs
8NBdP5sz95UG+hnihNWQpTjPTMUbqvBgBvm6qRziLcFirPRuSuhhlenGmQXBRqM75woNkjST80bM
32lh+NjTUPNYPYnUzGA8FTu8mgSjN1wlPK3uDkM/4MxQm8cQIjPCAetIGuG2C6e1PVGJTCYshkVy
ExbDKbYMPwWJydViiYlvzRlsZQwJTRpEnjq5V1R7BBdW473MtJY7KId5qygvLK3otpFB+8ZI74Vl
P+RJzbG/vlSiiouJm0LnzdzEc7KEQCcCesGFixNUrxpPagUaUFAOHMbsdkqtPdG0GZp7RJXNYVxp
BqzBg65HR2apNKb2FqxS4/hYQNn2E717nILxQTPbO7OlMIfFaltE7iU7OLJxh1NURwILQjFh0tHr
RVohgabf7xBwMrr+NkiWdFUmWs+YabgPWzPc1V1909vLU+qEz7VF/3CK0aG7SSwZsabmmWp/P8Sq
TS+VAdHSjg6KUh5Ip7xgy+VqHNaAlErtlsPXJm7Mu6pVt4pRXo0qOvYpNm5Ncsq+E6nkFCflIozM
cywqxUOBuZni7BGsY7EttPklD5dpl87hrh8aqBWR4yKTpSNDNbYEVlc8JQVtzFkOrWbT4hxddSb3
qqnbUF2aU2ynm3wkfBbombmWEh8Q3+Mma+dLTTPfmywi7tbUF/Q478s6iA7A/bO1rU3vafz/7J3J
ctzGtkV/5f0AFEj0GLxJ9Q2Lxb6bIEiJQg8k+ubr30rasiVZ1zf8xh46bLpYRRSQZ5+19/ZvElJt
F47JM1JkIwLCPH0delaSfY8lLwgNa4lRmi1sozyHLj6cgMp3rDVcOug0i1RowLgynpbVVNpLq4x2
1IK8OlGLzd5RxdGOz56pOgnNek/b0VyVI51exCFxQaGigPR/rYEcwzLeUb7zXHzQj2CQruIhJWCk
rghJb9TApDv2z6Nh7UMqwQhE41YijOQkQCwnUMsJ5BJb93VSB8c8S/ZRW90GUfWVbO9mBWF8MQFt
qohdqShOc0Jd1hXZ6SvGs1a0Jz1da1fxnwkgaKGIUFexoVkTLGxFiw6KG4374cFXJGlX0irWK7q0
iNPnUfGmI+ApEIuuOrZowR4NoGDwVGN4HxSt6iputZisY+Tkz+PEJyr87jYbWgPHaPlQYyZamo32
YFj2e8SReTGlrr6YTXuvN+Vn37Be5lr/2gsuBtaOd7LmD4bJxVzZWdtwiyiqTZW7Vz3ceWgGAo1z
0DBv95e2lt7wVjGqRuc5t6yNbSm/T68ZixkWG22NAhhP33dlGkMJk8VoDfatIYOnyMUkWGfxez40
KC/WwIZ2mItdk/b3xEXOS1InScTErOY3i3+n9o+p3QBe+dtTUvuOafkXJyV+7ttJiSWcoQKG6db7
OCh9d1IyxCeSEEyES8exgecA7r6dlJxPvgCMVCIphqA/B/aPnlKKFMjkMX5rN/0HnAyawc/HJORd
xhjYG9NSquxP7sVcZlY5Cc+5zM2531Dna63IJ3x2WRyUbvdotM59Ol8HlGwCa64NSje7NrwPVAvn
pNgIyURbUdDJEp6yTnNI73PV3ilMVb5DoafTtu1iGsK9pOpTDwtuFF25sUUdLCPVB2ro4oXSefkm
VFeoqVpDuc0F+BESsOPa2QVhfSiGiOobM3rM7fKCCvvnWWvh+L16OcTV65Sk135kvtaOeBr7yVg6
7XiCEy2XU5Sy166SY9cxlNskWj1OuvcSQ8IeC0laqBhsZ6XL5D7tshdSrOc9wto+oA5w43jzbq6M
l77JL/2CmDLHvfXrbcoMXflY/Oi2v++i+NmLtd2gl49NrYUH15Arv7GWedFfigRvMaFN4xRfKvqj
mhjugzj6UrLf5/QIou4Ml74CHcrY2FvlBsBtwVBI9MCtcuy5G9mmz5VBpxe/4rZpZrVO7FeZRY9U
i0aHZml494EVLEq7adgbwiAGlEUkgXZBfNdAM5PbY9zr1kOZ3MiG8FSdHaaFu2TZZ9muKrMvtRYN
jFEN66Fa39bOHDHsdleT5+/ofnNIYCYlPCrM9zaOrUNW8HoZRgI7nFmX1m/6PMVYlZ0Los1XZZO8
jk7gK4/DBbZjclD9y1xaKyeh8xCinq4HJYG7K9emF7G1RsIgdEwChUIoQnSjpTP0YpGl+IgztyFv
M6bejAcxF1tMw1Kbw4e37qsttT1Wj3bTNQalaGwxDWO6Hlxi210BuFSZnyeVumpVyU0hODNH/OU0
ad7boNZVnqFouI53UWlin3nlSSbjCz01D1HTvMnKG1ZimILV7Dg8LqnGRqTnYJIm7b6f2nLVk3zR
xezTZrbaAJn5NQ0f5jLtx10u2nJDAwah8RPiRFruTYP8W8ikr/w9jqWUZwtpNYX+QifRlznnKdmT
DTFl5i39ci/EghxbMZzKmclkbosDPogLUoj3Rk7oQUbHhdd7b0kT7v0oxMtjZAsHR+vQxLey0+7j
0tnrRXnoMG2WjrNP9fAMqPJSNNm9k1Z8qPNwYZn1kVH/1PVpu5DpeJ3l/XYM4gurc+Ddh530y72o
efBM1q4Ko0No6TRATOZRYhEfGv1Kj6xs01GnEYTt0+ByZmmsmWNVe5adUqdm91D7xo0dy2Ma9zty
LDveYd7tkx6nul6fQumeC9l/buIJNCc0bpuyeeSReAzG5NRFxAaH001B2D+RXdFjmkUbYKnHMHW3
dljucif29jg7tk5PQ1Tstiez8FVtnMnWN9wzZV7nWg+/pbNX6ep97+tP+ohl1dMzysWM7oa6jIuO
BtUFMQgREkX+xAp653Y8q1FLaCZnOPMK5DbnZfb87aCx+/U5psX9c1F3u8bWv84NmXIxe98Zzidm
CGa0m7UivzFiziKZN2TGxispb5tG0zxgHyKww8mOVMexTkj3NC4TDCj8YxRFZ6vPjkE4DYukDE9D
gNUo9ou3Pm7xvdYZKeb+tir9y5rwAkChcZNXuqBvQjzEorsYSTAxU+2SzK3bWf0J4TLfpBj5NoZr
E+lGhNrjqPdn1nyXeoorwXGxEE3Dq6ExBsUyjPmecAJv+VvUwt4UHQnolZe/SNM8TT7jbxvXu7RM
tlRCDiuUswfX0Q8VVVlRBEvRaNc9lOHSsO5IP8SXPb8lmXs7s7q9KOxK7vWQiMK8OGmqESqoKJaZ
7Rchna1rBAvLhFdLWjI7hno0dikjrWGE7yknRGIJSv04udMFRKmxEYJMdJ36BnYtNZEAkYS15Gzv
hPquybunZohvK0b9qQvvgrrZFRqj7YiUR1PBlvd8F07ZY1tFpF9ZV6kq2tD7pZE4FKlSaGJbJcJX
eBfrc7PynH6nYSFvZ29fN871nIldHfp8NOKsVTWZa/10DVF9SyE2i0BwBTLDFaIghmtpOqeG+ERn
zcLcyNZoXfGDncctN3/HPRpFoAIYMpXbTVNdNbsM4j3fTjQKWv4WTs1bYp2/48C4dcPCpyXA9hZ5
2xdr2tFIe+jpiAl78Lu+y996HD2WUyRoprPNbGbSo0DNxgg/apftLogwyoxZyyOm9/sDWb8A3dr0
tajRW/kWL9IJ476Z1GLBpt+juSt7ZElmMLE7iOLYojeknrvaIk8cvON5eAGvI89FJdqnRLgAlPZc
a1Axg33dDMV8yLwZEmHILKyXYDwC9IV84lloF4NZH1BRrwyPgsQxWbvG/JBXwU1IhUlXGeHCNYul
kXmEcIvqKRjsZOmGw7oWDa7rdNx2BLKvzbZ96xOaeFPv2QrMUz9MPGRoVyEHnZKlBXkUd5JgiJXn
Rq/cWR90s94FQ3TWbfoPE/OIbQlAIaIdOObU32i0r8/20Y3zE0lPJifkHN0/3WgyZ0TnEV1Pnbdy
6uCcIHRkaXnTNkrGzue9DJ0Le4x3oiaNJpV7SnUWdqmnq9il781JzGt/yG/bkQdGOZF2URR3BRED
SBPpkaFzr+vayWdy5Si0NcZq3wZU7KTRPnSrI57IR8cyj1khDrXJk9b0iNORnxmMWZ2G12PASWGy
JQvdaI25Y2lX7TsVqReUAS4bLrqRuKTOzz5j6iV/xy/2pR7f1EayZmFHaRD6lplj8Br12ybV4DEL
TaPhEJzQDdfkWWyCHlA4IHO685tNm4hd3hlPvQfinIhxY2sl4g5qbMD1SIRQxd09faJ8EDTIDnEJ
GGs/RZnuwozUjuSBouOt6c1Xek/QVNqKu2kATErkY4kOyORsqKbo+EtQlz1b6aEDtDEvB1u/DELz
ZdRpC40TSSC/u038eO/Hur8JQ0K20plNt33ZSsE7HrL2wjG4WMJysFGWULgwHIh1MDneuRTlobDQ
EzLPWUWtfp1Z2kXWjsrDZm6aRqsXgR1BKjd6vosm59kekunW506zSrPxYhy9bqUN5eNoz9dSc54N
Iwk2Mq6edHwnC93pNmnTU6zZ8K69QOx8deupyD6iuiHahXWWLMGyThLEJw21+Uzx0FGKsFoZDtnf
VZ0zKRIvXk0VbCf/RDLqSvT0DsSjZLmQ79EMcDO2HcFI6qltW08jsAF5YIQ31KOfLegRvBRpfAlv
u7QSK9q70dxcyKB2gM5N4ryz8DDUwbXfZM96LK2d+rqTCgWzU/A0T+vefPYiSGRpXaMjxhe+WRCx
L/eh1O8M7H9zaevKOIOQUa70PL2oQvY2rlVDROdfgd9Y5ZgGw6x3l7bU7zHhp8iBfUZtK2bvp0lU
N/5YFRQnuJeJCC9zMO7MtaZjMSYPVeY/W6N5Q+RcebTNpMBE6JDc31rPc+7v/UZoy0SP0WB6/sda
JahpjVls0DK5SzJ43KaQPB1DK9fN21EkBmNEXaPWkutlGUhxpqOtDREH8z9PgPUdCuzAXASojKP/
NEAZsa6PhlHE50RK4jhPzTwufOv2u7Hy6jei5fsgOsWx/Mm5qJhR9SKOsFhamoJRkn//XTpGGhAF
pzVNTNPOXitOuhYtNOuuHe7+/mWYRP/6Mi4cpqXbSvD6CacJdN1nCtA5uBtfh/JeM/9xODsIpSV0
w9IZNrFt/fg2Gn9yytLJs3MxcKHtvAAPyh/T9y8+pl/8/gROGHxCfFAstH8yfYSuEmjtKj97zB32
le3/l0BZtb3+y5/hu8/np9+fhC+BfM/ng3dTy5cpVDyteejt71my+vu38ouXIuGQlBXPsrHQ+D/9
KTIPvXCYy/RMXQQGVvqz6Y0JrSWPYfzXf/9a6tf+6W398GdBbfj+6mLvmvcuzdNnaS7R30jB4qvF
PXXqN3//Qr96U9///X96U4Wb+GXn/fZCqOJEKY7RhueIehTL/3KtqV/65zflC4FtlacjURcKHfvu
K2PahVHy4GXpam6C7LUf13bw+e/fzq8ut+9e4ufLbW4o6Q5BPc+F95oEz5b2/7icfWqXXOqEDAHE
/eNbYCNst5bG3jjhDoiAm03/j5sXGzIdgg8eD1QMZuT7D6nQCs73VACeZ/d1cC87tfFp/8u961d/
dC5iWFplIBVK4/r+NchQkAWlL/m55uA3LdXGxb7uKexhVWb+lyv5F6/lUXxPaZzruQL96cfXigKA
RD+xi3OkZuo1KVQRsXEVmvrWuPn44//rOjC4Pfxx0/1Leuzle//6hev4t0TZ/Zf//d1krH7qO8ET
8ZTrCgIIL66KW/q2GkbwNDxdd1xSZTFm4vL7Q/D0P9kGgUf4AdgPqx//U/Mkzkan5leF06iwWfuf
QKPAqVwEf94ZSJ9xaaNVzRfsfHnBnyVPYtqkaQfxdI6LK3Ny26URMHuPrX8/zmRM6ROxc75RXHhz
dgPh8DbJTFu6rPgWA5jmgjAD/EFU1DepfyZlp2Tact78KD1lnf8wz9W9ORRfuy7cVJojF7HvPmcy
lwuvcYwlgvxWN/ILOl0pJQ96n6pVzro65fMZDwMkwfTBwQlAI5JDeFdQIQYGxBka9hN1mw/hNL9p
AUmzQervhqq7T+P2qvYt2k4CsdV975YAepJKx/Ay6NsDtA3l6VpzFB5D01jgqR9L3vO8Ssgyrbxu
33nRhqNHsOBLsyki7bGTDAisM4jwveQhtJkt8kgxtwVrIG9BxXe3Yum2qbzMY1fHhsESJPfF5yYV
DkBJNd3OdMXGfUBKomyWczXiVEvMeEksDrkhBc1avmY/5zOhjs4QuODpenYA64CMGUTDbj4gz7NM
Vt6glE6VSjlZKvdjXpiCbdYkSyYU+4FNE63vIbs8juld2JKdYpcstEcHnfReDAMHPXyAFaGdVatH
6yxp+xotNkwc3Fhhht+5RIOs+viCaX+dNtNWz8bdPPQOlYaktyUh1R46JebujJ86sMW95UoFsVnv
MrFPmU4XWt/OLzNNuAun4cKhnO++LYqXOHunEvVAhEoJvd/sp64jypeoGycpdqWha+solaoksz/5
OnEMKdIaYO3jZDmHXKJ15vb0Wgm7urfy5ibMrRuBY2+Qw74zxu2YJAFb8YAtfRzsqEAj/bMyj1OX
ioWvSXc/aZBoc+49aH3tYcrQNoNvbPUYLldtJb1g2M8+1C38Mo30YYEjVCNptJLbGHf5QnfxvRjB
xuxooNNig2TH7mFGF8hs42tp8pkFCXOPhxAfpPf0vz6HeX01RmyjxtZjaz0/NTX1rzrrReQ8OFn0
rGJsD3lHxC81fE99Oy2Y8V/bKV4TEnVki0sFnnx24qFdBSZCHWgsWmWd3XVWfR/xmF3IDshMd6ky
IoZGzjAVrftc4StZ1J1zqnHjzGDIukncyaSNW32alnnXvdheeAOLtnFFcTYt+zxKfPiVMxvgBLAO
lVNczGl/aZjhJi2+pOyqO+aLdTME2zIeVKiQxV7anq5ix8ZWQWKoT4Asr91QV9GMSxw6r3lA+oat
p+2SVB9CDEOM9v1058wtye9lBuxVu3dYjo8w5c+zF50yf7w2DW1LiiipKpX/Jcj1Xe57XEZuRZRi
zgUY3GXJPK6DxHinHQGIrxd3XMZPbktmqwjKyzZ2rhvf/OLPU71OtOGqDBCg8kZYSzbB5PwGlHZm
ToQY36Lu2OmYXU2pf5NiJFWDMXmgPRGDOaT4pnD8tzFoX9OsugoEJYeBawerZtABKaYKCD2xj9Jr
rKvZ9LbaVEZ4dqjGupWF+BxMhKCE6Xw/l+WFOYdvAs2iy7ppR2yCtm5T4zLCEbVoZNRspgxBCQvp
eynded1hssTOKjFatpW/kK3PJ+C7uETsrF4GVn0xC/fYGgImXexpwrqp0b0W+mDundm6JGL/WOa8
yzitVrKNdLQozSKfliz9KO/Qg63fzuT/PvItnrX/+ZF/+9H1vqy7+a+PffWTfzz2MYt4QmD8VwPx
R37cH4994xO2D4fT1x8+xG97TpcDAQ9hCkBtQn45q//52Hc+kX5owyzgGGFq/GdEGGDaz899joaI
347DMdRVv8qPh0OfeF0nxHRxLsa4JP4DhROo31hlcFgxgRlrQ+mgDf1Pyyx1M/j6dl/ZAjMfVEiZ
58MBjckkxwIHYat3u7AM1zTvUX5dlwisBW2FKF7rxE3ehqDm0aiU2r4A/syUeusqHVeTk39FFfu9
rXTeajAnvppo1imWrrAlOTV+RKa8y/O4OLsi0JblKPD9x+hy+ijiQ57REGyFlJL6/rUHpEFwu/Eu
tJrwbUMb7orK3znIzIkcp40+FmutGW8qAY9dymyfadVlX6DYWNXW1huekPZ4kbv1LfdYuIqpPDW2
i5zZmtsUKYA7SfN5gvgF7wz7tcutZmnGwZbH/C2o5yYaLcRUFCASVeN9n7kvQkTuchgHGmnQtryZ
XSoy2LIbUdXKWKzGtIuIOFIQ9HwThGLa2Zrgo+ni/pjFUD+5HV76Mj74Hl9qhJ313GpfkiTzF3FF
xzroyXaY8ZdXAf3YWp/SHY3Evehmc9Nl3pUZYjk0W8VXE/betuZNwqOhbL4YXvnV5X/XTXxkccVD
NhLNa9QVFjSzC5fltquk5FZmEo2+YFJalBklhlNmsU6cmh2m8JuJlfJVlYtTNSbjWqeRlSVM2azw
3xpbUlDuLKpe2QOS1KbZ9ww9/qHqkx3EHZH1VUDoG+cHL0g3SM3HpmyvhqBctRi9kYU35ehDi9vx
o281FrXWBq46QnNXflZt5tg9TdX0ZJT5xir6Fwsr0z43+5u+oeJUzMM7rzyuRzN7791KnMHQOd2J
6SoZOeYFaXTyOy246M36jb07WdW1MPZEejkvkZa7a6g5315PRVOt9ZnuaJtWrqSXlzAnmPHDsrke
m9IAiZnUMcuUxOTYjvfFk95AjKzJicLd1HihWjPYTDbB3GZQP/sWuzl64Nn+SV6CZlLZpbt6gCXq
bD5iLwyQUKL53pQlERLGNBAq7d56lcMCdHrPoipdidS+yQJC9B1C9ci9vzTYVQsfcZAawVnVv35J
Zunv29L9MqqYPkRm5AvwllUpmmuazfmI61NAQsPKJXjnQBEABDvrjCq11pgK1bPS6xZinPiJkbgK
yvCmTSKCr5kMrmjo7lZW3urnPupKwEbLICQnO1bYt9az7lQ7wvtWGht5WLbDkBjNin7I50TOitVr
2wv4Qf1kDrX9rutBelfqFilovTdp8FvR8HsH2b9PJzU//uen05mC2fD9r08m9VPfnkywypbCjqHc
lNdFed2/PZloMmFEoeHDcDwUClUA/u3JZNJxQniqxwPN+y309A/XjPmJhxwPE4f/LQ0p6Cb/AMKB
svnpyUTysErH8tFXDYuA1Z8kksoRUzy4eoAZWZBYN2epvxRk9x21sdKPhduQTafpU0fVfXSIg+nZ
C7FhSPKRzJ6gJKJsBpfQDxb568qky1eXlVyPSZyQ+uFE5QNRMuQtiY/sJVgLytU/Epkw29WvFtH3
722nB9gaVG6T3fRkd7O2Kji9byJg6GrdZiTW08JokX9YJ75zAHwFyKdVpPnoF0ljSddIompHxrr+
qhFKzWMN8M+OA7bEtJTQk8tuU+Glmpn4m0yVmVCRDGdNv0nGWlXSd8Je/TTTfyLMmfZznyh67cIq
sz0lsvsR6X5pOzWPZUGJStlgrjEaK7qQlrPVpXaVcCK9kYF3bFUJCw/6AstOQ4hdU1LmoQ3penIS
wF2pJbRpdOexbc5aSvfpAN+wmFhVcoId1hGoNy4Tp9Wgjc2p/pqa7W2c6bcEmeWUPOM/vNKqdD6Z
FihnJTehdKInoleXbkspTBPkp94iyMQso69uEyZLQ/LsNkqPVVrHLGvmt5pjDxvpMbu4NIav6pp8
20rVv2TOAjPhuAhm11kZoojOfUiWTyzJ5jHhodtRK2+cgWcuaTHA6BR6+x3WSkMAymgnEjc3ZInh
3u6kdd/4tIYwlfFYz7yNTq35AhliSc9LTTKAK5/toCsw6Gjs0xYFwULLZoLZ+u6rePWbqPL93uLH
I9dHzrSq8HY830EOQs7+8chFrvqgp36TXBr0nm/MbDBeSWL3lgMhJr8XA/97/zNRMf/z/Y/T+f8s
6E75pXOQn/x2D4RCRPCyIfwM7jMfqOG3eyCinGNZeCSgCtHEfG5P3+6BUIhobhRxCBYRP3CIzifw
RFRn20Fjx+3xz/K6PjoMfxDl6EgXJEzjJkH6I5Pkxyul6Sbb7lNPI4Qgp0Op3PdxgHsoc1gYKqoq
daedpjgrZrtr/II+5D8M1gCMNSgqC32HZBA4Lb4syRLdD3+xorgqxXPFgF0k+z0Q/fki9eo0kV3H
d8y7kIoFs4DCAmneh0BiuaLFwpYUiI/WbkAyvlBLtiMNhU/6ta9Ys8GDNKiTmlIR9+toOeMmGeRt
biT3rqDeZ06xg3caA27uV09WR+kMnnQCRQG9k1BC2pQa4aNQ2Rzbt0OqsTgNTBiqjvjZ2R1IoQhK
0CQICG0VjNaLzHptuk4Gquo3GeMAh7tSpSCQiqJLxgwVl+Dj7+D25W+kIEqhV6EKWEtcNsrmuleB
C6lKXlARDD5e51yFMnR68qUlpSFQcQ2k+9scnC+z/t5oKKdBEfUJ2SYdmnn/1lWRD4Lsh0SFQFAP
bayhBUjrKnsMx01zqPTiDVAxqVdFFlFMT2go5kknt4zrKg1TAD/XXvGlv9MjtDa348ExproyVj4V
VvnAmazkCTCWF/g0p6Xm+uvCRVwN5b7IystGNNscbi7z3cNoB08EUSIApea0L4mN5gyv70WnAkB4
3yAiI0ygwzpaz4gH5Pd59MI2PvRqhgJSHxaemqvgJPMz64K7TLE4uWQGgMY9Wh+gTquYHYJHICnq
D5RHDN5pNqZrvWFG0R0a4xNF/tRSvw1BgQLFBM20dVVAQhoYE2bNaztx93Cy27TvduReN6sevKj1
8vPoA9OOxoRLtF9a1K80A/RlYnfAp8mjDanklkS4Qi7hKwlpG2t2I0yThG2qYZzI7n+KW7ETCn4i
HlEuHQVEzZBRY0/Yrq5gqRFqylH4FH/yZNF1yXsCWdXX/G7aFNqklaiYMPircXa3VKa8GDWpdArQ
arvsNENs5QrdmhTEZWrWbdwNb4XWrPPmru5om0e2ug6hvyQUWCHnA+ztg+4nA0MUpCq8GPYMcgkg
yKgieskVUqa5DkArkJkJbRYp7EwoAK2CRPMDUa51+kBmZ0YMx8Wpe48G7FrZaBzlR0ZJ+43OGVhd
RbmF0XmAeqvq4SKCgssUDqcb06ZSgFwMCxdAzCV5cdkphI6ikrdeQXXmEFz4CrMz4e2yjP8M/m5Q
IN5Q53sPMq9viyP/5Qw/Y5qI0uB76QfJB2swLZ0Pvi/6YP0w9Dwn0H+FzbOZzPWvs9bsgB2fqctC
b+3XALTbxPReWjjCvMNIVEIWomATYGzCksmnSaGHhjILDxYNF1CJnqiI2VWgYl2bTzHk4kC7XKZQ
xtKzrk3YRhfG0VCw4zT3J1vhjyMcZFDU3t6v5S6CkIy99DEx0otQb+7dQuqLLNFvWphKQ2anCMYy
1bvHNLduawVf5lCYVq72GDUVdAa2bTDNcCIjlX6hXWbQwgHJyUVyKBXaGcF4NoG+oTKNDDmcYLlR
kQEOQNLDhZbwoZpPbYYJMFoN2t6CINUhSVsy1nPI0qFHzp/Ti9FvCQ6br1uFoLp5dTJhUkfJJeuh
luTQqmRovKSEt1mVvW+hWRuLtAfoVmFGDz20qw31SqRTxiQabHob3AUuNoWPFQqUnSFmAwMXCQRt
oVDaBqY2KtMjLUkvI6ytr1xuZB8sBCEXywQe1+rjTQGfCyR+jOF1Px7J/55N1Cjz384mdfFaf4l/
5SdVP/3tfCKsT8JUpwyfgevjPPHnjIbVVEcltHS1uGM3+Of5xObfcAihu56CCsf9PqrM/ERMggqH
sR0OPVgl/tGMZqgZ7PsDCuQN5xzHtTmdYHfVf5rRfEoJpc/ld6mlnoHIQPKtRzrA3lFpuP1HMG5b
tTU86qQRmIskbrMqGaomucegwNbrI163qEnapd0tpBEO22p/DaBKGG/HjKoa78ZqJqcXB2Bi8A36
LcOX+icWUOlHuC8DZE3Sb/sR++u1BMnXdkuoVKFhMVnM4Zzc5QhX9/jyEwMVU59uI+ERBGUkSbSR
FDfOJcPcjsgnUkrszn0oRK9BZ7Mde5DsIEjLsuU8La0CR/tSa6oCdEoirKW9fDbzKnnWbGnvABaw
kYo+C3DRi9BbZF4Sn+aGlSIWzjkPl17sBEu/NHAO6vkyN5MOasnNL12n6G9yplJyvlMca7Fb9DvU
KZssgsp7McjVmllA+uXM06pzxoXrxba7TKg9vtEEpXTLuc3jHTHp8+fc0PBChdbUFMtJ5yFIFKhv
J/jjLLMDvvd6s93aNX8QlBlcac+AzEKsU/auaysRXVSsCVEm95gMY4KBWJUO5jz7Oz9E5l5Psg63
LqET103dJy+mXzTXvtu4mCUdwYjI8HlH6umlbzaS9YvGp3lVaGGvr8NGrfXCoOyqfWSILjh7sZE8
p0zRd8h8GQktjmrGHAo9znb6R2mm5qkCzYrT23jI3dga3p3BC999fEVb4PQA+DyioDNWXZ2NRqtD
rsEepV7cPEWmkPW5wnPPI6pd/HvnYvzBbMWs+vd3rlX8Hv7CBK9+8I+blvNJ9xhbVMai7oImfCcs
ucxb2NnZOPiUYSs56ttQZX5iraHGrT/nrW8meIPoLJLSkYJYUfzTqepXwhLMJfgTKV18Jdmi/DhV
xXzrm4ilxQnULMfZQ0Bg2C47x04PeczFC5DQz25NUK0uDawBBSWoXRmswqjg3Idh/TWNVM0IzeZ6
9ZK4mRBXbOkl6/GeHeKi6Qv/nJftfAjNLov3mAiMO1IDNHsvGr3WFr6vtec8MINDOjk6DSJpmojb
2GWxeuR2lTWf/SJ0hlNtytq+Zhzb9qQMv7NexMVbxB1jiuV1hP+qxG//I/y7raZ2b2UGkwitHem8
DpQyNluUzSKoRPrRUMpZXVUJ1lycY+to9KtlXdXtutOn+Gi3E5G/wSw54/iB/9o1eJOJnwlAM1yL
EynSRHcVGfYr9NgLMPfnxOH0CKSVL6Vjv8s2fyctTJDfklfWF3xOGEtA16tw2Bezbm/aVOteBiiO
RW/ohNoMKS2Onk9bX8t59FFoRFj46RB8HmN8BhRVGPtIC6ILEqvzXSpq9xJ9aiTIXVZbC8RsWfd8
rfO0GJe2J2Hm2NQRKUDPR9TIlYOcQpldQIRBfvQ6v1zaQc2+wLbnfWohuFESzITpR1s3rvJFHRop
hlovQUJDO3JpeZWe/04wsrb1+nmXCQ6DqIPbKRhwqDR5uggDnM6NNT5ZkUWb5jBTGEl3byl8EG96
hdqoHi5Tc2QBHhFR4mcqpRgejLW0NM56mKa3KJTmTeE4xXuiW/Uhr+LiEd92jW5VfSlYrPzWofbv
ecv6+7sWw1Q8lR03qIJrafoTz1I/9+2mhdxjwceiXHOk+i0N6g8lyPzEGYr7GcoOgrRaxv5+07IM
GCw0Gl3lSOEXtTj//H7TsvRPHymxHkHrOncZtJt/ooZ/QHrfn7Q4t3vKFatCRRDlHW6q3wODBKyT
7FDTbTLWurspemtYWNLCD2cNu8glhayfIFwI2dHPvAn9qNMOSoYqvgvcfHr5FBMVfWIXrQq5zOo2
6RxrZ49dczmkgfwi2yDfuhncT5S5TEAsIeOl9DVsmLnQxqumztsz2aLWs6ZTZywCMkuWQSBwsRRB
cZmG0v/iEVU3jZlNJ4zQDgbZoNuZG+x96032c9azUB0MiovbJnL3aVfw3HY7UkyFTdaT2em4PM3G
eC/tLnsiZaTYhXbjr4haa157Mr/WTL+QMbU/bN2Ecoku6uX1wNYrY57dhHEoVz3zL1OyBv7+GZ9X
ZB0F6DPlK22Zdlsxt532boW+KhG0Mipiq6Ap6rMbSb7xIY3ht1HiqzalriGIpzVRnS49n/U4QQkW
W118qxgoyAjt5aCtbMwDBCRqBdoXd+TpDRtfhb6E2uRXwfjsUMH0yqHXLhcacUKbMHLsw9SRJdUO
5fxq2ja0UQEofwwHWKk4FP42kH34xpUU0/M1z69BE83vTjw+1TQJF2F80FwWq7lw+uVgM9hqcgjZ
GYpu2qaTpx1DQWtMWo70Nbb/x96ZNLdxbFH6r7zofTlqyJo6unuBwgyCAEeR3FRIHGqe5/r1/aVk
2RStp9eOeIteOLyxLAOFoZB5895zvkNs2GLMCtpo0RBE6yZrCWWsehR3ZVJ9EnbE3NvV7oykCrck
ijJykGR206nbrRU31o0TltmuVZD/0Rq0Ltks1GWmSwi43prFrY8l5BVzh/tFsQdlb6QtoPcxO7Eh
EWPd9uOmVxiyw8CuoO/ioyzfbKVA9VX6+TXUJAm2mq2nAC3Lcnbt+G70k/jCBp4NdpZ6WgM84w0z
/ZomAaowd6Ny4OYNPMOWuUdB7T8gnh3ucqJeV10xRjcKppBz2KORyTkawZ4XoicWoGGE0VPPtqtm
NBvSs6eBYwhk+a3e66+uxSaf0tQYB+MK6QPeFEKttNeyKOd1FanNwi0bSUanD/hPBfmtgkS8+usK
cs1s8jlqnn9WRfLgPxZkHQ0MimVcF7alfT3EvluQNQpL25XDRgwBfy7IBlkauguN2/3zUd+rSBJ5
XIOURQz9fx+lJGvEH5ZjLs9+YfIPTwrz9cfl2CSq1on9ej7N7afK8dFa/H7GeB7/Z/BKAlU6BUX+
fkokn+HPK6Dx4VlVB8u10F1O1uJDlQr0yyrH0tBOzagsanVtptGiMV/6fvvuC/jJdX58J3+9Dnvi
+42lUAgJryNTO5kIMbT6YrBffn0BSYf45Tv5MMUItCrXO85jJ320F724s903wt88VyF+qMeNSxBy
/1h22y46tyCatOiVY3kQnPUCWutNQB+4rQ6WGawc6DiBABl1MyACGYm++PUrlSeTX75Sbqz3n4UR
KX6LMoHPwlhxYIcI/qkjg7zQxGnAoUqKARl1rGQ6e0eycKzI+/ULkMzJv7wATWN7V/n6aap8GA2S
Oqy1vWpPJ6o/4jI0t04vEkwKrTeV+JE9N4Y6uIsd0FNjszC74VpLB4szMwllvarMXo24d6GXnYr1
M1D3AwS8epNmRJUY+8FXoUzqSqzdjUYWb4zEhTvkk6WRx/GKhLJdyQwCK+2ajYTG/LQJ51NvRass
AFSAwAXW0AZf3TnTz1jGgHA9NMiwg+a2CZyj0aZQcaxlzwxTJ5yMHQ6VMAEHcblMzFsYS9XSMhjh
EJkUTZrXYdO21Ww1lNupemhidEUKAp0hP2ituAJjHo/ZpsevcpeZwJ2M2VgV7m0rrCVEdk5aoxyk
BwKnUUVOo5MRK5ikj0yowccyzXVNv1kmgfgPZqev9pU/f5ZSJ//DD1+WkO9vkSFicNuOzXxSN8bW
380X7SdjgyH61Cy0i3bLmWoF2sib1oa3p6ZfF8vxUdkl63ajbqwjeZjH/3DL/OSOeb9M0AZ8/3pE
mnZ2Jm/ZItkVVBTDsm4WSNHVbxvWv12OfnZnvr/OhwXPibI5DRksnBQqoNvxpQo8YrkQ/9DR+vU7
0uRN/udH/G1Fev8j+NhU5H+uDTfSTyGDzTPm/G70AO4PDY0pLzihQP71BX+2AiKEoZNJuAONiQ9f
aWZl6KRITT8NxFjn85deOf/6Aj9bAN9f4MNnx/iOfl6g66emX3aUfYPiMen7D+/iP13kwyrrjq5F
KCoXcfvDXO1b61a3nn79Pn62Jb1/Hx+Wx4m9Gl2GqZ+QmYLexhViXbvxpRuO397Lf/ukeoye66Ip
3tr/JZ/5uSinmiTi9v/8+Mfm25/ZdaVv54c/rL4eCK+613q6fm26lId++0HI//P/9S9/P1beTuXr
//4fn18QoTI6b+voudX/euSU2Md/Xx49dl8+//wxf1RFmjxxcgKk/pER4nwFf1RFCBaw2kqmEj3w
r7Em33troCcJ/GIcACb5w0DAgagEAAF20jc1w9+KHDTUH3+7cnm0DZJTsOcxfuA4/eFWT9u6Vcdi
VE9tXDz4bm5urMRQDrrSAXzEOX0FbKbYMp12L2XWxbpAAOu1WATqgviFIR/p5uJvuajruVsIJ5Fz
YGvTD1DGnLE81kBIyh5LUOs8az3DctIGAdJ2Ekwz7FzfWcPFUZdlFGywC6SL3AWLaA/ibsjrrYjC
/LYKAhz5ZflMJ/lQdOVdrYFrFZkRwcyontNJZuk2ImcnGrYjOSMeCB60/SweGy0W4qwY1sG3BnfV
frUCDIqP2hF7QIpPYMIvgO/m2c+IVAWfS9dbmgocDIULBA7XLXN1WD0IqjNpQkgN4I8+M8+lH1nC
wwPPAu5PZw6b9arGx9DgZwjN6tKRBocyTB4i3bhtC7dcKnggSsiulCnBXY2QOgI931lYoLNZ2/r4
J1RppIjDcEte2FWucrAiOCXDcRHP7q2GAhhnAGaMWldv0czBUeNLaElZ8lJp3eCU93mSZo4GVwdH
4gSvAgnEFWSoQahnR1pAQj+6ilzQREo2oHqdJhUgVF6+qXW5V6380pmjQz8Vwc6Im+tOhkSNpkrH
os4gEllEOlspiSVlSk4ip1Va9ZzJc1dHw+wyjiFqtmD8HuWNc3L1ctqAWcJEYsU7yCLuMWjqV73q
8Z7MdnCldIBu58iEMdcnl9Wkv6UYVEjetUDah7G0baGpo/MpaVOJGSxbk+y2PM3LPZnBp5CEEU9N
ndOgFAQrWxxzg6l4yxJhMCWV6CD9kjNh7nUGpUUboe7WCE3Gs6ls4rEXJKZ3T1YZ3kNQ6fAMuB66
D3KgdbJekbvpizQnF89p5ns7mqRT5Qv80U1H63ovcuVKc8o3gSezCyF6VKPj5YlVe2pbM0hLq11p
ZfuxNVciME6TlpyY48iGoktjoog/qYN/Z2YM2tuENmeo2HdkhJi8bJ3IXL1ZKE6Hp6eCiNip6nU2
tXsV9EuVxNdRBFy7Sx8Htf4CXrgAIILXbGr6S6dOOrjXA35UNT+aDh+uKZQ9eEGxsVR4DR0Y6mUe
2BcIvp8dfTaWTTt9Kg2dPpRWrssGEysN8Go5jf0u8WfV63P1ckiHLyGf9UriGr3cApRR6GTc5eXR
BfFsOdC+aAIRX+c/t+qwtmt6s0o6VB7mtwKwF5axKam8yU0TL5/Ml3Ywj0Olg3t24ovKr3XIPRkh
Arq+oQ385MTVIcvyOy2Z7zWlueL1oZSU8vzBPdZjni55wctg7gdglMnRqUY6aLN6jYXoaWrd8kTf
hzCjURn3SjIpuyIb0PLQJOsTtP50k8IyuXasnFhmcNYgPA2ZIm7zLHMdmltccavar/AGGkq6yzLI
jip0XKIeLa/SGkIfChtfW8FNPKG38QDqnuKCRAh3KNKlH6YY94LxKkbCi9VOfXZm7Xer8397o928
FpeA+JsfN9b/n/dZ2aT99/uslAdedFHzr9OXqCl/1ojg4d+3XMDNyANx2rqINUkDoHx8t+UaAtMM
W7JKYt2PM3g2QFoT/IVD61jKB783IsRvdHJ5mEoIzLch2Pey4/ytDKZi+bd1+Y/FKxsuliKgzq7g
LsBW83VC/87RX+toYNnygxMsk0WjHyLxu4T031/BkgX3u4IcG5JjEJOAYhWZFKrvD3VfphWqW6bT
eAlsbMccyF0D94jrtZ2Nx9EYrWFp51OzmTm0ruCTorXTWgf8JkRBchBb1zrate02TL396tjVilPh
QzSs6mhZijquBDrHYKmWGupA/HWrgqyPEoJ+BmAYgPFmRACwqQEwrQbN0jZ1KKpVUwwcYK0SlW5v
nWMSfTdlQqpxV5APECkB2UxBXcTKJs8ARtzk9Ry+Zczz18Y33InT4DglHldiUNyUP620UqBTDIVk
pbRfuSllNVZX7ciriKoZ0Ktm0soNH4xSO4RjCD8X59AigVtm9NUGNeTF0Fnawm6VS5rT92Zi3FZu
c1PjZAry/t4yM377VlUskkhcVDVeC1FdAAtDyR0ksOW6CKmDdSDPHSA0q0kfFBhUkUSotB7mYtrX
pvpYxjEgtdSWa391qqFXbwnGuuhG9UtoJdMhLA3bEz5GECfVXsOUhWRy3dWEJnDRcqaifwL8uB1H
c5Mb/nwg7v3Q+8pmJNq9BTi9yVKzXpLfRtlTrqohOmZMqVa+AXwwCEtigeqdX0fXVCUpeT5mvgyU
ZFfPMhm00XZ5M1K5hNlNUbeH0BgHlJKq9Tz1SeNNdTB4FKjrseRWxbe1Eigy2J/yZUYW2FhWx0GA
u9TikI+VAR6uOXjQQWzemGIqQBALKHM53sbcd3WiLwWztak9VlavoGoHaUd+xaZI1VdhdS/o0h24
r1Z2MNyMNniYmNFVmTsZYjIRmex16JxsBhUus9dN46jPiRLuZouICs2+axn8paFvLRyMpH6CWcvQ
LrAPX/U5Xk0SD2D0riR+J7OGZAvWbuMMrb6sDD54M7e3jdp/YuBAgBm1hu26T+hcjoWKUS6qxz3d
w/PMk/YaMjgcrrPQgJIrn/VGe1WUcUemxIXhK1vXvh/9p8KZ97C1nLUZB6vaNu+qWUPVOX7pqcq6
lqh5AXjI1Kdz4MeaZ+hEzuOEf8Rz+2igVl7Wg3bhijzwBnGi3T9lIvTCuTMoAKs16PVbZ2zuRNKv
xoDDthkGZ9GjnAUVj6Cih71Ia4FgbLbOXrsvlfDWcbI7pZQ5tuzRQfmm2+O+cpX9OKpE4sXWninz
JrXSbuHYJLQVGiLOTrTXYoghUI8HM1afCCeB3WTQ1IQbGq51LGaXmRiT7ahk+mPBpOWhcYqoJq1u
8olB9ZPr0bebxTim2kpARcfp3YbLSpHMulRG3bYAFStdUZcDP4uLvjSjy07MjGfSuvcxWJWW/IVp
SEkXlUuQiFP5zpfZghUVwgFXGt1a9Y116Yek+/hp2S9a4TbczIbMYurSAyMW8od187pVVUwG1VAt
g750FpoWH6CZ3WRlAqxwKMpFXzZYp13xYFkALK1+WXXKvLTHJt874BOPfongd5xh0idW8UUEODCs
agr5ySEvFuatGpTUjfFEZOEUXMQZXsMp8a8gSH3pRteLfUAAMTwGX1FvMFs/Gkb5xHQQGVO87eP2
DVvXKTXp0AU+BSje8Uc97tYgDp8KbFad0wA51yit/EH6AZvcWcRy0uKby4mxH5zCVVzpL5nVjpsS
2Fec94+94UMDbOF7Rt1T04p1WfM1J5xyfPuTljf3Zpd/MrUiW7hjfDOm00XuDtu2QvCsDPGnIJx2
0cBPdByPPaPGIKOVq6bWddvOJ3JHHsfQvCxi4Tmi/zTIuKUBWpYNfLcXLosFJwu+jVVuJU9zFTGW
ia0NbUATVRh20taJAKKPiBogOnuxad3g+uATTBFoB7l9C89g3xqgr5tIJcg6PFQ+rTIF0gVcxnZb
xMEnc8JIid5za2bGiuVmqXQjBE3efRbaF6Bbt3US7LXWfHTLHsNb4ZVOcmKYvEU1ypjJJ5NHTz4r
DpPBIdp2MEUXVed/Vttkz2e9jOYRW7vu7kU3XTWlyssUzT5WlW1tWk8+Gs0ehL1o+xsfEiyOgHlN
CBBJXFF4VsX45qs4XIivfVJFTA93jo6umW4qv7rN8nZeJnmx7UkE3jpuNkGGlLx5HZpn9GT5BQRy
wrh1vWjXeaZqi0KI4Uw7IFw4YFlXiVM/5IDE14rqnFRqT47hVXVoNMId2nDM1piHn6MUgAXZYMrD
UFrcLwjhVpOKqMwQUfoyEtiy1I0s5HQ46ceBPM23d/XZ72XP+2nIh+6WZH0JgxQMqhASmTTrQ5sT
06NGJe8rl3EMFvI+cb8I8+/acj5cQlZa7yqpibvYSgh9uVQl1d8+deVpjP9DJ/BDB+33t2GpNBkB
TJvSxPL+GrreTdngRsFJHdjlbaZHYPRuyXr+9aclMU4/Fmx0eyhamQxYulSH/niZoIgnw0764NQh
265ixHGgJJXqrhPngfO61UDTNL+hpf45SkhRxy+PEu3nf3np5/onnTv50O/HCAn5QRaH8NaUchDp
qfzjGMGoE/wbkjQTRdrXaOHvnTs8mg5ZkpT5grbaV5Pm92MEIAD0KDpUAdX41gr8cGz45THiQ9dd
HiSkQUjF0IT0AEPoBzSYrQVamtZmcdId/IQ47iSXZ5pQ/cMt0cdA2w24tFP8JXmWI8Sl7HzM8J5Q
IawdpOsFnhQbbWdsKqdZ8VeqyKhUY7u4SKWRJY7q+0kVD45Lf85pZPKW0q563C/fQKLtjDJBmmKK
2L4aA6AZi3qOS3UFnBK2omNyMNCIY51lLiuxSP0m5ITsJaaDF0ptQR4T5DrHNZEKAZhISO2zX1Bc
kAOy7WT+q0IQ7DiBh5wmKDiW25jLcCS6pe/Vu14GyMbTatBJlG1dkXjW15RZ4mbBh4cc73neSmbR
dj38GrjJDAPz+NmNXGc1yezaDgDCIiXOds6Fv0tlwq2ajasiJwtRLYz0YJrKcAHoHFcREcCeqOM7
lGfsQinG/DqIT+SPeTI0dzHMeAOs7pZTh4VaubqTp7sSXMECf8qFIHF+bVR+hzsr75a5kpbUDGrl
uTLNLKm6Y1nGJficIl3PvUISl7mH+kbOSU+vXg4xB8Zn86BtbaOiAkuil14zjkE+X8561hM8Qs+r
i+uHtMUP1BUdx5XyogudeFGq+F0DGlzKjKytkGnKTcFuVLaxsUx1axe31lXiTyElRzMsiZhfVbRF
1jTVnisdnqmuNlBlhpWolA34iAuADict7Q4GXTUvE80BgQr81K45V5HVLiA5aJ5K7bUS7IQNBWwT
d5uqMo62GTJRcwvFgyVQIA/Ml0mpbOpYYVxUNMcZSefCJBYDYrV1za5y5Pwq+c79SKtX2J4OtXlh
FDP2T9EyV0pUQHIDJT3DzNGFv9fH+TEQ/tNU9dM6VZxNwCkbXY16Lyo0n0ZlwwKMl1PVWksnCq4C
amxtzJZzMF5WjftC8wx3GygC3K/WLqjonc6WedF2zSkqmkq5Kgo7nV/RSyVbO8uQPpb3iR9UHpLr
QxPN4ph3MpO0dR+LRL1uzRq0wIRgE2frHKzBFOAyGsgGV9a1qh+KNLyMimI/xs1lXqTnPqcshi9A
CJvfDTvLN9842nQx9SktvKjzbYQveT/f6NZ8BDZM+EYaDcioTGKbDIvrik2ZYsSz52YFzmg7zMa5
Nh8bhYIu69y73NXw0ASHWie/J2vN3RCScF/O527Wt34fEWZsdlcsdosafpGum9irI9y2fuWfDfDt
2B04CHN2KbroGtSJDDm8mcsRp0DNySQcIyqWuuWHkpEx4waascayG62NxNrg2iX7hoKEmiZ0iMNJ
OZh33DmkF6D6J/yKJnh2JnLlwRb5W1GrL5mjQ4At0vsZCa+pJYQtViD4TQPHjirpD5AxvjiSB0EW
6BEKLMuEqp4zyYyA0KSdBjASKMIgXACW6CRhIrPGa0MyJwzgExS+60qoDxNQCgc4hSspFZnkVTgC
cgVOtU+5ZFmQebgunWnTA7lQy/rsAr1QsevNkoJhgsOIJReDQJwt0VHuHsnwncNwgyv3HhOeW01S
NULJ15grSBulZG5Uin4cJYXDBsdhguUgnybC4gepw4YBq0t2RyQpHiY4D94r9XJCGoNLSEQomR+t
pH8AulxhJHgL3OcIOEgDJCSRtBCdnyCg23TB6OJMTuRalWQRXzJGSkkb6SV3ZOjjTShJJJFkkkzA
SSKezpG0EtPEyQ6+hB58gr4foomQbBO+UCgn+ngtm7BaVuLykCQU+PJbcLgct6lMd8yRPF9Bzg8J
jEYaXgj7Ca9hRGoGtBaJWQnEuFbC6kaHv8L0s/ZQ2XXA0zgwuVBaEj0EsdYYG4S3OCeqiqkBpkBd
L286GC9Cwl4Uo9p00F/MpLzk7JbuSrgwQTteq1OxIrRjovy1DwUEGUUDJRPOU7ceoMskLlRj8ryv
OB/EhNLiqvxaRvxTTxlUFr+sp/51/Azs6q9zUPnAP6oplLcO5F+wPXRSvxIq3lVTtEExJNku9LIf
jFH2b5ifdCanUmAjwUp/NmXt35CUIbihLv+vqMNcHYu4qTNWtUlr+bH+brqhqzJrGk5qca4DsZpi
++9V+KjDaOqSjmPyDnXXFB9astZgE3ttd92pETEH5XtFPbnQ5sVW8ynxMQev3n0JPzl/6dKF9v5M
8ZcrfqgPdYy1Eae+DqRzh0r2K/Zm+orAKSQNZ6gLZ9+3ZnlpSVZOY62teKpWSGF9c9VmLT0FydZh
SdR3llx2J7kAaw2QKMMJL0zWZuZ7iVeyWvdK8uayepNBcS7kcm4XpKai+mSJl4u9IZf9Wm4AmdwK
BHtCIzcH07QN0BNRsfGnMWdwwyZiy+0EBwIscx2V6EASGDuO0/cHV25BdtRfKOxJVGDsY74jLZrt
Ukys/9Zw5ZO8Q5fF2BaFdu7Z4XTH2uUqBnCCsQ8Fe2BnKHe13BT7/KlnjxzZK3u5aWoEWhEFvhGl
sw/lthpaxQBCn63WD6dj0dnzjd3iXMOshlXrhhx0a2sh8YoZb24r0mjaq/mr5qvL6rE4pUiZWtrz
l3k2YzVrOPTTQ6+wdzoXFl4RwjQu8GvvxgTfiOuTj5FcTrP1iXRXS85WIZMY7KF69CxM9SVVCnM1
mOI4lmLvE0/XJ+VF6w8rMoF2ZPOd1bnycp++xThdEOJ7wYIMlmnOVC8wh0PTq58qsriFwJOf5fMd
cY/Bws+m5DLq8nOetBvSDy6TOdmrRWIvxtIitaSt6YmM1OuQW9SFAEXbxPZd1YLsiBU1WOtZCXuz
G1qKFr25cqJqukgJZVs3jn5Isxfk6CcROtdNxwBdw8FD1Ea91kgl8NPo3OXKzdDn6xCz7YKMtpUT
udho2xc7xBmiWfGVTnKC22Ud1YVG4okUkk1XbVdwPGb3tQaxGep+rWLnaGlxZJq6LIrihoL+nPkV
uYwjtu42TfrrcQqvLV/b1XA/AT49iCRnQmnWpCwoSJai+i0HXQDqbwP0FD8OQgTY37Sc+1d1CA45
eSSVYJbHCkaGDUcFw4gYnAxMhoMz55ujMONtZWabUTVXqc3YefQPTVPQK0IPMbcyXuSSjslSx07M
QnE1YeaHVoBe2RD+unKNe1ETXs4vxKsSOAe5mU7bhFDOXZ1SgEQB6JRJ2SfNfItNj3zotL2M6uIm
7tVlHNMh6AgzZhPWP7td/Dm2nWNRpfGCGILEG5p6WvjNQP6v3zvbfzY9lmpTFXR6frHphZ+b9mf9
Ax71x46nQQuEGIOEyyRgVEKC/9jxjN9UGMHMALkQ2w6bwXeDivYbQeac5yVNkK1P5Qn/NKgACDAs
15GRszz8bwGEzb8KI9H88CwADU28bAxLf9zzdHnxMq3SswpmDrlAhyBSDPfMxYJNWymnMmQNpno7
JikD+3pyttUUlNiF0Rz0o/PKQYCepnvLj4nMCA1R52S4JfIJQHuOsXXSbm21/iojBHTgpJYRGYKQ
jmxMQ3tsTFQbETeyQRO4GSls7fhIMMSrHYerwTVWrQJtc9JKKHXiGTMPjXWXYLWmSDwlyrptXNbb
2nUPDSOWQjfXM6kghD1DFTV7AjSKO5tNddDDjimWiNDF6p9TNNnMZB9C0i7Wtu93XknK+aaGdeph
gSQW3Wr25sjI0SGNttUZ5xjxKgnjGyDEJUHdHIT7EmkOpJJF45TrwZLEU17cwbB13ZudAY5ajokH
HN3JNdIXPWIAN+kICKOAE4wy+bckrkJl68almpOUmDfxMRFQqiL8bCvy41IvLG1kuGMxAapzVoky
7UOzZWg3pHecKRVMZzlVd3EV1gzdcsfda71C6ozZHt1cv604QNIJumInVVadnKXQvtyos/OGKYjZ
np5fjSHtIeG4j3GsXZOzC0bOL2xqdSMjHc64nbPoMSEKaEg5SoFhoMsekaoFZCKu1DcZ37aF6QqI
IeqmVdhYGKh9gzi98FMY8/qDCYbWDJXOs4jn6CymK2VuCJAb3WsRJzulSZdDUC9E1IB4ajXaLhHX
UVFHT8jPAFCGDyTRX4+1GL3CweozG6R1BHayqHKQu+0ETHmIeVxqtC5HkURssqI7FYXDOMPne2/o
gGhjtVCz8lHroos2ji7qiMgVJdCYUVqc14Sec+BoCNnLCL5dxG258Y3iEgcl8UWmvUuVBuF6E12q
cfFYxVW0rlLGj+SlLUeRs/PwQoce8ZeW9ttKU8+63nilOUjjI6bNoNs1eXnXKf2maHKQDcUavg4M
2yxqvKDp3ZWQUh0rDemsqf0DExK8OTqpsuNmiEpihfMKKZxVnIhdZdJhnwuKHC9x+xsnSdctsVXz
ZdsffSVaT6q7C8b8pJn5We/9LWOkk4J2a9lP8Fkk6bMjeIE9c6a/Q5/QAkfJDRr5Htoznx6ZxUfO
k+aZWXqOpWc0p9juMrV/C5MxWY6ZYa90uecYSfNljBkYFM6bHY/drsD4Q/PHdTdabu5CjdnLDHeE
8xoFyQIN3bhheAhddDR8r7DDYe0qDiUNo8pgDOF6YyFaZ7146UzmU12YvBRG/wA74BknV7xCWENW
hDGcp47+GGZOAmlbq12xHPWGx/iK9Bk8Xe2BtQeSjYNALhqrSl/kWbszc7bptcEM0bzr1cRxNqGo
GdoSj8xvqcq1Bcmp9UxKfTBqKydXBIK2HhPyVsB4IyjOMOfokiS0qbtx1Uxrbwa3VoxDN3bFYTDh
8TzUs9D7U9KW2yLg0F3G1EeFSMQ6iogPqtT5s1YH1w1QJK9Nxr0QebeulXrcOIp1MO0RQhLalUWX
Ws9VUTSUWxbUkFg8JIrleGHPKF3Dc7U3Cm7mJHfwL+BcpE1TPJW++AymSF+2DjJ8YyZy1g1pOAAt
oks0MApWYe3VbT16UzIeJxJjx8iN1/TcjiKvrxS/O2RO8UTbB+SLQaVEDHFDt5aOkEkuojHumf+Z
6sB00C4/RyRGWRJk1eomYD/MPwugDTeqHl/6DXFN8fSYhvrbrKk8S2C+JX12DxRgqcx7fRrjpTCZ
yQf1dSI702qoMhMmzuuQhvZRTVJ16Y7F5yGYdyEAFTD0I2orECcLbsZLy07mJQ36YKUqyhX9en05
ELtImdsdZ3XiTDD6Hp9CubVzWm0NI/uNIXrWdnDTthvZYNaZ0zGIum2T5WwGn/Qay7UjYn8ZKiBw
ncQduDh+TBcYvTG7mjePkgo/EOY9OBTy2VgOhPQOF6XT6gskDgFuS/sUDfmRBgcsutI/ucggmqwB
pdl+ttxhWqFqvJmQmwD8BKbru2wgMHbu/K5rlt2Qf6L5vo8VIqPtbn7oKjck+swS3AMztHVVV7y6
aF8b171jgV6rJaaSLJQJ7sbWiIs75qMbJbJHrw/UXTUY594pr12z+BKx0S1w0F8KFZWBye+up729
8Wet9ky1Jm6yZ0toh2ABvCxGY5HsXHOS0pXcI5q82jRmNHiRaE5J1J2pRNa53t73mbbFhQgJtdO5
ATsxrhIVSqOqORWNUBKtlIC/telpLa2k35DDpW0sznw7TJmuh3f/pJZNzPys3RMpDjHYolXWjHcp
bCekLmyCLFlrJZqDjTJoBIa5lofvj4kCvzRskvrZ0khpUxrM+m2uZrtZJ8Kgx8+KIqHyiaY0dkJE
57CLOViTTK/knFpY5FjgzGE7Zzo/CdM563jQiYMysqVVjM94cD6Rs3Nqcvt5FsbzaKlr3IMPRRI8
FEFpLVsj2vlZ+aAWztYQ2GE51hgxcdr6lKA+DQ96PXwOcPt3NtbEBHxAF13hkCR4oVVvciEXccUk
9ZGQ03/K7m9lN12MX5Td0Wv907Edj/qj7FYR3MPggfgHD/UjIZBvWUdur+HO/jrR+z62c38DvUOs
OJq5r55xnvD72M79jSehOWTTjGBAy5ztb4zt9K82wD9HvbIBZOs2TSBGh6qu40X8seyejTAL9SLC
9e2oNGazGQme9lQELzD9ZwI9kEDnF4QpkstJ4sHFUPLfa90+WcD/O0id6F+uU0IBqMRQU5ES0CTh
Q16bm4o2sJE7x1LmCTT2I6J/6DgEDcwEDrQmUhyaqT1rSHdXjvktxjQAf66aelXFNI00tUefCAOL
KANzilcZ0QYzMbcaUQe6UBAAEn4QmnSCZRpCMkfbhpbZIiYoQQvs7SCTE0TSyn7KI9Cyu9kpLtwY
ciCr+CIhdEFh1avq7j6BwLcQxDLUrrKeiWmIXGpM3tmmdIn3oLRiPtNahCiz49nEPLQRgweFRSrI
xcYmCKJueoe61rmvBg4mEsa2mztyI8gcPcRqilJjULZErULVjmofLA8iMzHudE3GT1jXQ9ldT21W
36UEVKQyqcKqnH1AdIWamQes9wAy1PFIGqIJVdVWViaBF22vxFBHu4MgCgNuBpIkwjEm7QV921NA
ZMbEwBP+Ks5wzgFPiczVSBl8EQ33ath0K9AX3H1FIA0qaRwKp/5W5nNMA0kd6jhtY6I7HGdYlaiV
yQOm8pHpHsO3pA9Se4n9aMcWrq5vx8WmNelQofNCnD6LUm13hcMAtbVdJql6izypKtSaui0SQIKa
hkr5c9pXAwM/U29Zo1USNEeGIWQ860W9BBBOQ5+JANumC+itgqFdGM95WFcLxrD60hAYFRCk8G8D
eq25ebb8jpFEUr3hjbQo3Rmt0eha2NrUE6WXXNtzOR2wnlwqoe54LYnSJHdTayrhQzqKx9wZSY4Z
+5uyS0KcpaRfisp8icvmjZLhdW7pWfR2eh9YglsBAJ/aEz2foJetcyVaxUNrrKCKnEdCL5aGm2xF
WD86idmu4fylhGQ5j1PLBAOuLlote3ihJSVBnKTJTxnnhjxqHE+N3eCYBsplAO4AdXywJ8TvRYzQ
tzPuF+aXUO0PVp5v4qK86g3OptTEd6WIyoVVBFJwuACowmxDtT75Evti8l8cbfgUzNVV5KfeJJTm
Ymgec9NsMI4oxQGq1hwteapxQRDIUqFvCGabklwJG9jEI0C6waK/FlbXnbRiJGF4mPFmzHg0Rrwa
FqR6wkh6DrPVlNTP/+wrX/cV85f7yj2gke5nG4t82PeNBcY2ACRWbFhgCE2lqPp7PwfFOa0/JhEm
3Ldvw43vG4v4DYynTqtHuP+XvfPqbSNL0/Bfacx9CZXDxSywTIqkktWyfFOggivnXL9+n6NgK9Du
7qWA5QLDuRi0ZZfIw3POl97AVfdoJ/ESWLQ9GFyqCQFLDDLEj/5BYHmLtyKs4ElogCcnvCkGukvv
uv29jGZXWabNaiQ34Z4Vlz3le/IXpEVmLG/GCo+/CDMLHclwk/glv+fTKrhAFCZmLiu5MZyryMce
CjuheBgPbCIy1gp12uiHAOzGS0aIdAdMRC5D2/Ju8iyEBk0j51ixhK6FVRr9mT9oF9qQtWSOg2dV
2KGGlfat7QvTRva+aFuE7DN91qJsODFRmYXzGTMsCfI8U+dZF+N2DcwT8bigctOvQTQ4c8MeS3lW
pXdGrHcrS8/jU70hh54qeRQPi8zttWlMfJViQOkMFLpMO5VbxYhO2jg8LWtQoZi99VPfOdMU+cGo
8vu08BZIaHyxQOyleNMbkpntq3QYsMII5g63uZNQ5yaH7jAUMy1KsJMvlVk8FN99279gLrBS1Px7
o7WXseLBoQZOcmNFjIUd8BlLycpLUAiGeRQHDgE8QeFuhApEIq1918MK/wHXl1dpjSA60Gsod7Fk
IF0iSNzOqkoBb4yq3c68YFT369S6GhTpa6z6xSwLfQaode2pxFjGMGwLF9ETUo85bUgewYRYgbx0
Veq11s9MO/UvKq+leWQpJbFeRi8pDgZWETTipIqacqZLJR0KnC8KRJuOfAlD7lc53abRFYfs1eTq
cYuJzig0CViJGtv6bYpUDCWkP8ZXK5Ra1zRKlEtGLxMaVdP6ID0g6SdYzZG/mZfzdGIc6QttDoZh
+pcEXTGT+5mqoeGoWRaNUfSmGabpiIu9fR8IwXeNhzXVylW9I1Tf+2nkFe4k73TqQCty5gUGYYxo
TCAViPAuPat0jxS+I1zqaaZZw8pB1Qt21PgNB2VnUakAkuo6X7j2+A1zIljxLnHVHfvrIqZ9oZbF
MLUqwDl951LH+RT3ht/P6avudwoVGuLxhY54xWg4B6NG8QNvSkeWYFKgTYqqHry2JD1AI3eWUa/A
BcvnXeedqJhn0EFgXo91NWz7EMxUW6y63tH2Cy8EFaR5Vx40TyqjZdPbMhj/fF+O2GiWU9CakcPL
33/Fby8RVtYBUIdUBvcl/FbNEbfZK+imMyK7kyduuZJbdA24CACwlciPSYE/xwBNR8jMo/3+o1LY
tKvonL/9Nt/9znffptS3VtlGXrUqPA3ZeDoNjZfNxso60JOGeYlL98MENmaRBhlxBR5JTwecihtg
t5JxkgX2VzlAaQiM0HeXNg/6CEs1M89ld7wzvOJb0gXFrEAV8z8qYMpTTGbi8OMb/GDR+KUBovlA
+H2nAWYIkjbTl3//i5sF9RiEC8n/uCQY/3JRvAnJGvwvDClMxFV/jlg0cw8lGKjVsjjVT9OXl5Bs
7HHeYRTAxtY1CqR/FJK5Nd9sOUPmF6MxJvMeUBqDWfZum8OekouU7vRqjIE29iDxkTPiKEaoL8kt
TJ8yFk1rhJAzdxmUaLwbSldNy7Q9S6rs0MLsCQkZoMBOW8ywsTumwbEcLKDqGbNxCMP3LY2+qZS1
FhNZJnxupy6zUTAFZNObJpVwiZLB55vfcJn46hRYVdi+o2MlK9PwksYFDuISrCGf7B6dQ8vDQhyj
hj8NO/2WD9lV68NAyuoqR4vcxK2wPkyxmaod6dpN4S4BumYSumwj/4Ra5FuVkW/gFHlG9/QuRn90
nvDBGFYixEfxcNQo2U0yyAOypRpDolpkKnEHBL67GtS8nHt1t9B1xqVqiK+k3gUxhZ99X/gILtux
eVLV8ZcuHaOpjfa3EdkX+C3eA947oxhCB4XxFMpfYT13O4TA8vYrhOo7t85u3AIlhyy9Qx+IIWlU
evMmxWqkspIzL3cOAr+a6KH3LVYhmeSxnc86M4qpFbO7TnHoTaF5nQzMwnNVG2cDQtOLoGjLKajh
k7qKsEh0T1IPZbUgLxcDoAG57I48xzkQ3BMkrr8HeviA5scXDbqWq41fE29MZrJQK+NLcmQ45V2H
FYAqhwXA3cI8N9tq6Tv99xin4RmkEcCXrjxtyrCaJLJ6rXvGhV5jC2AH0RfdU783qtkeDnic0NZr
mgV846+JBPcq8ylUDHPR1DBp3KYO9yk1bsBmRAskZzAiEmbomITBbq2NiaxTiozRQrZyaiZb3i9q
P8MVD2ZNk/OtgSbrpiqE8kZnZFNAcDKxJNh3q/w4cJPiaEwib1aGLmZg3XhhxcZ+lxqLptCLqT66
1O9RAAev7pFAG6twFjfsOAM1sqk9somHiu8wUXNv3pXjJaxAfmtqw4hpF67cXI62dhR0TNEsNabP
W7jezIvBu8Gpuquz/quNtwSCjvmtrGQloGR3Wnbwejs5AKRRIlwu+Qcyvp0zyWL4L8vZvjnImBei
iQKz0Dmo/W5AUt1+SMLihLYvZo1VmEPqrw9NbxhmagNn30uwJS0MABhEfHZjMjG1+rZqHMjopYIP
5QigMulN9VhPo3TW057yDmPV8bVZFHXXqo1B/byUKj/4k2Vw61O1tsA4mIGhLUz8E9MvFpoX2Qze
zqghmR9X/hThY+sMYc3APBsKyCVa0Xs3QZPPq5gtNBFqlqu8qhhimbgFUt/KhofAoONd+oUseHZG
fw7x8QisaqDNe6vVjAnu1eOst3EAOGww7AFvEsAImUKcjZNZNWB62sUAXs2+QLJUU79GHXbqS8j3
DfdM7OOAZlp3socg/zQyh5K6HxMwBw3TSDeKeRColvdFrq24ulHd1qPTrsGsh42SmO43aH2+vpRR
6pcmeEg2+X9ao0/hUkDGfh0uL+s1PYsYndePIVP8y5eQiYGK0GAzdeOHsshLyITwoPMjVQdlIER7
CbQvVay9J1uYmCLoyySbG4MfvYRMcHgaQALB9sHWUgXm8A+qWDSC34VMwWqAWkGtiIo6imoiJ3+V
GcLH0qKyj7PThkHyuERB3AhXxNhQndd1Ep8h/9rWU0ivKyMvzoC53+kIV85LNfnSKkD9sT45KdTy
BhzSUVylFwGlWC2psFFDd4l31jLvwRCkVrfvaS3XVRWd+HJ3PYbpgxNU/SRr1apjV2fnhjculAQc
m48oVgMxb6bqwHDiOlwiTDnpAXDMSq1NlVsUuiaYVnjxovNaWzmULa0MjqB11t5+pEhQTOXWMcm8
cy2E6imBu5iYbX5oBVayX1jOkRnbo/5Fc2uwvm7ShVgsOchhnpRhUN2EncvIv9USddE2bThO6yY8
tqrUxGDGMSpmU6UhzZzKLnHpS60WAlGJzvE8odXtAZLvbxtUkyddnF5buYF1AzqfdotLTB6Y69xF
J9nqClQL7LhjYJotAxdyggplEAGTYF6M5MU+iIzMba9U2f1TKsfD2pIuWkZfadsd4o43ayVoUZ2B
kpFJgpGb0zJWwRYE65yOF3pXEsG+WTZWinCnlB/YvsWE1VEu2kY6xHJpDnBtZQteqlaiCN4dYFRx
BLrigATqxHPSVaL2qyYrb+WhunD8+EANzSum4fBALcpB79TEM2VCCXUZ57Qg02AW5/J+Z1QXZc0k
r6fvaerXieBgO/basaujOOy4LBNNRaHqe4pthx6bK61r5gy3QQCOUwVSghtUZ9i83pQVXNDGnuWS
gqGLvxqz5NSGu4H74yoFwVn16vXYZctWDSc6fh18l0yDmXb7/irE5LbSnONRIxLW9VFohPtg676p
Rrigzb3MiR9eZof0boOJZ4GmKbHBSpR92+xPlJYqhBb9quH2HIpwVZo40eAxWI/SleFrh+QHfMNN
NoNKf1gp9sQO7InjFg+OXjH5i6+B01xlso9zhrRwc+MEcYSF2iTgGlqgAINy0unQknkTUydVICUq
J247HgEampZ+feJZCkO5/rjr/cOswtMCcvVDaakXrdNflPjwTlyvNc4B0u0HZuevTFdHsVlNTssY
+7YkipG2C9QMYXcIuWQFfXEqw6noFLZU4+iHMaXUtBDEixwGxgATg740XoXaiQVDoxdUjZ7GcAt9
fqbB4qjDge0HrSPPsdcWRA9Jc7+Balh2ggJiJ80XBKnnmqRZk0jQRFRBGFEeqSOCRCL5DMTzVkrn
qq8sXV2/0AXlBCQmGBBBQ0F49CyEl1LpODAJogoSPhKAdCtcFL2yrGGzwPmYGrBbZHAmc3YH35aq
4kfUwIEBJzpNYcWQJpZTf6jAQOL94UYnGvwZBfhQYharXBBruiK5Q76AL2OUAAXSvyFtYrHg4xix
fZgJgg5qCABhBWmHBkENOKSZZoLQQ9YGthaOTxJA2I5g/dDD/1oLGtAgCEFSMq5Qqln2MIVMQRmS
bLojOTT8PvChW8ArMuEXofJwJJEq2FITL2JkgADidEsqGRrvgp4EBx/5QkFZUgV5CVxKsQib4SQT
xCZTC04jmE6t2ZhT5LK/eKbBfse1LRUu3DBtXUGT8gVhSoM55QgKlSPIVLqgVY2CYAWJO/pP7H+O
/YTJ38R+bo6HckPc51/9iPsEd4pQQcd9jO2Uoq/ivgOqxaHchWiMhuvPuM/sU2HiiegJZbEpK/RM
XuK+vWehe4PsJYKuIqP4R+aRH0tldMh0VUUPRQfSDwngXancqgANCskZTola1UKW4nRewfeIMMiy
3YKxXNgbIHQMSQLGiv5Qh8IY87p9tI6A2ArxscCXjZNeCJLhOwLBD3ksSnN5Gg9atVAVGqUAurOD
vi3yc1Wn0WPqtXSMdZGxX6F95gixHgnVnhReEL238TwJIJ27QtpHyrkuNdR+RiH7kwoBIC9HCijI
OiakNi48DUa00zRRzxFPiw/bBKBxAo5eLpEVkoTAEFiM6lBBRpsLWggQBSgR0TN46FAmypj55UKq
qJRN6TAU8kWeE8d4hCBpJDcU76p64QixIxfVI9KmDgRbM6sEF8dFGYkm/aQQUkm9157LaCclyKQx
fD2msv0Gwnk/FCJLwdip0xTdJd0QwuMoMY25fT8KaaZBiDTZans8CNkmMPTFVGpqjJJwhXPQdoqE
yJOB2pOL6pMlFUv4pF/DgIhgCWGoQEhEdcZwOwbqipkr/wEeJfC9mBGbVthnlWYzhJWadCCn4PdB
jm8ZUsASpclc5rTSrX4Bk52Wen3cKM5CKceH0UY/3LDa47RnrIAgjQ1tn0sybWhH4DGWTGmY5Nic
cBt3qn6dY/nVSIwDCz2ft71qUMk8uJY5hz5UT1XXE04I3xuLpp8VoYNS6yP+2XIdQwBDH7UcTOrH
Qj6AjQm6clzbRYW2LUDUKaospDQ6AxUweYctiJgwzM4bOZEZ3eVYscUQwgoEfxOufS3dbxQTRxzv
GlUaZ1In1bFX1jFJEpAZG3wMumIQLoLIg8M6jPKBFafBPEsqNFs9t0YYzvkTF5UznEeLaVEhXtfZ
jGiLqkcELVjLwwjNv83WVg9aCq1hRg2SOx7Q6GBeXEfRPPd0ck21QYhGGXMQi6jBerV3ablU+ly9
6oGaJMvaha3VpCKI96OEm7QFxE/Xj2OpOzcV/ya1NHeS9ok9R+7hJDHVA9O2uds957RPq2oWSypA
VZ9sF4+uiZnjJGF0rk992J9mvXRYZjWk9S66a8LmOky023zozkId6CsDkAcuqVWpejg5dPYKvzd5
jkYulI8qbU+coTrTcu0+FHPWKvcPNNTauxABQjW9DNI4nCbGeBMXtTypiGAL2wjDRe4x86pd86bK
CogDPmp1YfQQjgxsBtXdHxtkxMHXm5NKF4JdXnCZ+R4MXS+I51IeXadddo15EUICrb4u5fBbajYI
ztRMPfLMzQUhb9lk9p9hKR0rXnuEboPM4N6Ym35+5GZGCMaywYlcUfDjkG7qYkD2PjtBEY9OklV1
EyxZv9YjqULkac5Bm1vOrEpQRO6wcJ/QxNJP1ShDjaIAeHj/GA3+w0wTk6Ffh0UI1zR9ho9xUfyz
H3FRFTYSsgJ0UkCCXk91VW3PfB0vn4thHVy/IPZbDG/pPCMw9jMoOnv8OSrgRFMKWRm56H9QDDNX
fl8MM7tx6BurDv/HWxGDstfFMDZSZlFUyVmq5Lq+rNQGfNDQBAQ++CCd6oCkbAHDxFZ+BxX725iN
/n4vpZc6DaOJZt0OLc4xeeMdlEyeijxIkV4xYhp41kquFW75sIknWd7rE/o37czwBpR9chPGTe6t
JMmNpm3r1wyestNqqO8lM8onhtPd6xR2cz9DpMdJubbs4LjXqZI1J1xKlOWlnBmzjK7Pyq9R06nx
GwfOXt4j1oiAZVPetlhA0C4c9jFMu5V6ZeF3tTKxeu/AsuoVLV4QrxFYCqPobjpbuorrIZ6GkXKp
GfVXD+DXvmPD8VY0zTz18BKZg0+nVDKicq4M3hqMRbYP2Imr1inP6UedZgKMBzjyEkZWMcEP+rxX
5aNENh70OtnXwPFVenCsC2BfSYrRg/Sj9cffdg4SufzagATMenDRqcAGghF0wlutgxIMbBCU5l2p
VqflGFwbwAojHc0qxItBGhrmmcSbBcbYHSR+INGkQ415lBpvAY//sgq0FTJSq/ERwyjTah8ErtEo
7OQwVBg1GQL1CGDoTDI6HNsrFwltyccPoVeOQx+eRihwk4WHJWLRyHMbSKVZYeXRIdntALa0M0DE
spOc5oOOxHVUoHudp+o+CFBaAKA1y6BBLAFr5f3I8stZKFCdZuv2c0MgPSEPguoc1AOEwP50AYPG
gEJNuYElmXZTKGrFfgkcvldV0dyNDlUDPYheoEv1buQmBXCaSMTuUpXcfRJTd9phtSoDT/UFTrWv
y9tQKi/M1jjrALJ6IYhWUw0RCkJDvNYPHAUNnmg0r2o623Li/VkBigWVIIE/o6NjCMRsK7CzNiDa
NMSQ01O5jK38WhI427jqriSBvOWfMlAXaFxNwHIlFX9V1UR4QkEytIJzFWT5Uh+c00hnhFAPPeNd
8L4NPZ15LyDAVocXnBSWNsagAb6sIIW7GpXOSCv7de3m4UyucljfAlqsReF1E82sOLjSaiENJ0DI
nLUZ/hb0HGqr3k+rmrl1hyNIr6juVMPgdMg7kNmITiVhoM1GsM5o8/nzIS3oPYCDDlJSWtB+Jnbe
AiQNWtoFNR312Hyw1y517Ugavkcyox8JpHVmVXNNQK9932LQn/1JFv9dFvjs3NK/l6N84wDcRtNm
lQ8DmgIguqGo+XNzAJc0JMWF31TrWB8Z5wyH2NWhguRg6KkIhHgPZ9+Gj17aw3e1Kr95UnPcZfV5
nEvLumW0EKT1DIHYpeag3qAIJLohMOmhkHxtBE69rOvvuZQkoBM7dRb31jooym8M7QjoGSwhVSDe
sRQ0j+pGANMNyUaYBCkSxSnoWpTVpAU0X0OkAl2iBjMu5ONKIOu9iumHP7ZHtUDdq8DvTb9fhwKP
nwtkfl1UMekRlWmlFwdmAq3PD2io+f1lbRTNtBf2NL3fzYpIuKKmRsmhyzgStrmMywBOQu+uslhD
5aBx+6kleZeuq59muXPpuPqB1g/21IT3MGmG+MLN85WHl8LCq+34a9lVAeM5yKu0WGHbiINthNf4
QdakHF204FpFUVj1b/sUBxtGLIu2S4+40C8GPYNlgjrJjABwnuutOgkMY9ZCItv3ZWDqbaXpE8PE
5cVOjxDB06dREZ9UfnseMMPGNZF5YEAGb2UlHSwv5t+27aVhhvbBmDa3aIIwDMxLd0IR5k/NsGBs
MErfHR0uE7ZYwT6uOufpkN2aGme7iC2b/NuWpnBIPaD1Y4oCk6NPyqz4yrRC4PGB3CdDD3IPY4GJ
j0rlLOPONvJUXoSBXC8Yctw2TnCd5Wwk+puLofbAefCVkwqRRXcacmB1D8cUzybWtA3MQ/hXJPs6
tgM+ei9aBmag0dsrf4jOO2LitA7tjIUBZ25Yhofj7MB2A6Yxa0KBPRdeSbk0drMIzxqcCzJKO6vD
Ea6DFxWZVxiq7ZfpcG9kxhkG1w896gokiyGacDUNGyx9kENIT4BFFbh7j4jsYs1kWekBaLHDOs7L
qT6oDeJccvYV7mV8WI3FlaZy8ONUu5YG/bQO6vuuiBeOG14R7OXjwIRmRPw/rBCYorH9BVfZA00i
WcSYtheNPTwtsYtyDcZeCHbSnMZFqoNUOlMt6y7oM2mWoLM5LYT9zZDZFwpzuLlh+DoM6j6d5zmm
mW3cuIdyOaxNic1Q+626iCL7S59CqbJd6SjwvHUJ391DTxHGaL6fFRn/3srPsghmKRZC3hwpzbsc
XAk9zOBGlwPGQIV5Rmn6Z6ab2CDF/cHoad9DubO4Y/HdVdXSn9t96i9Miy5VbVLJy9nA9gspFJRg
cBggKjcm2sWo9wRzEFLUAhK3NoAwb4a8XQdBKVzLqbqMIApO68ANEY9h1Cgsg/S63B9GvUHmUWTe
cnQQIgExDWx002SB+yxUNLEzYTYEn/Le9yToPbZXLpDOkadZ0razTB6QxIFmMkjmdWJjzOR5+Hcm
hfTFL7sryIXZJA2cKRgzALkK2hUN5Y9HecEcwL+sTatAdbA+bLymmiaycwW/58yLMRxHLoVWXy41
9DY5T1pbL3pPimdo2BxKZE7CxlSedmp1m3sJCFbiOatFCIFDbMrdVNDBOiDDUm5+N2Xpi6TZBIEE
RRG0S79bQqlEjdW7diiPHSL5ZLCMu6q19rEtRe3YU47cVEuRXELmujejay9Bvrvo0Vq2adaFUsJM
9Va2vRMSA31i61I2UZrwKDfoPOdNGK7UAN9h9E7hukQ3noQSDCOJL0oJpSJvpAsrcUwsn7ND3emu
e3KuiemPyBLmWTovas2bIiQDyTwq+Dg6Yn92h3RqlunHdpGd2fYAmtsq6Ax03XdTtSAEdai0wI9c
yG3zNW85un6pnMdeKnqo2lIzg1oYVJcT9HUuoSEZ0LDRy8v8nnu6TJe9XqaL0tSPFLu+C5OhmjI+
uC56SsCkka/GODjqh/gLIPZk1qHomFnybSvIe3aXMmStrW6Wxc1JXpWLVO7tCUMG+rko/rFrwweH
3NhvTdTc+/RhTMqj0UnROGUIoqrgDcNwVuOGlbfAyCuyPCvi6vMLdqbvdBYaWwFvsrH25b78bvqk
dFbW40BLztci/RnE4VemIoeuy4w0StdA3m/DujnV9eIowR19xsB54bawpmKNOrawLnpfmfdGAne/
yC77yjkAsA2Fh7JRDs9qNE2GgAbuoIFUduN5ULYnaBEcNkE+jQ25VY+qUBmmhWep0XmcjubXIQtM
e1VIRssfGDVSiYMQbjFy6f+N2txzmbzRIeKH4pr46VlGZvIl+2Aj8bf+0kudt/lBzyimv2c5obyv
ah/f2KPpxW+fE6+JIM09phaaumcRFw0wTDRoeYGFizMc555+DHDK2DNANRqQvx9//vQbX63Ur9bi
9x/zoyfHx+f89iO8B3uJN/6mwP/nS2Hv0dlWgWBTl4sXo+s3S8FAHCyLo9LMft1V2fw9/p0P+Hf+
zj9bBNCTWy8CojNQd7DkfXp9XAREjZm4PxpZwZ/a1aXY/mjYewKuQF+BZsr7jWCBboCR5TxulF1d
AwGA3HI7mHsa1u+IHTx9UvF1v1kK+Awq/DlbMZ7O3//xxfC6g2eA5/xffH4+4M/b0dpTDZSoaKo9
ftGbPj4VL0QKukaPrx09Dcp7RNA/vx3NPS5HDdkrsLDi9X4ncDvKJqgAVmInF0EI9P4vtoMIAq/3
A0gjGymo5+uR+/bNcVCRewUWZQnYEyfv//g08CY+hEmAx1teCZCbHMivEGOftjxb680acCVAhrAY
zXJv7uYiMDLeehEgnTiOphEMxev9IrARALvZ1BdPJ28Hd8LTt/PTFO2fXwnc/SIdYis8XQnirLzO
HVkEGmroEAnq107uBMG53nInQOgzZY07QX9ahPcJNPciP8RDXLgf8trVZEGku9svBbARHeL6Lw6F
smcQThFw3NVFELyQLRdBg2giI//+VC59jJMwUSCLocFv7WacZJc+lTdb3AwMPi3ByFPFHSleH+Kk
ztWha8TJXQ2UyvYxwtnjIyKhQp3w+NpwPcIgUhCT2Nl68jPSRgt6FP2D5wSZTf8mRohsAZMrgwpi
R2OEcGre8k6whNQ/mTNCeY+v97kziwCmzoKRDQ1MvHZ0KeTtM2jCJbA9BQ3OdxtBZExQ9FA72dkr
YfsIibGDjHSwjNbD0+vdIqAcwDkxAZfsatoozCW2Ow26zImHyo+gwbtPr+p7CnYXSHM9h40dPQb6
1r1G1oDyCKwsEhG/ig0afFU4p7saG5StF0EzyIQe08XnXGnDtSiqLJDGT33N3SuilO3rBzpsdJxR
f6Jd9fh6dyiIDVCw0JVSdnYRnrboNvmiDOQcpXNsOJ9eG4ookx8L0tmO3gnPXa8tFkGDoi7kvgx8
vh9fG3oKENdZAtFt4A7ewePw9O1sswj6nmyoqGe+HIf3i0CExE6JxjyJtXjtbCW5far0mDVaWB08
3wws7pvUWTQb4WAgF7Sri/Bc52+zH5w9PiAFpPU8n3wfI4Dekk6ZoGt39WbQtj8U3AzcC7pgvDy+
PlyPGJA5hBDH2e0e03O1v81+oHsim6CvzecU8f39QLtNMJS4Hp76cbt6NJ5bolsshWiyIE9Jhvgy
q/14P5g06hEXeUrVdi9eqFvnkCyC7jzKpphPQfNDTUGmjUSUTha5o0FT277TBIgDKRoDIMe7LUCz
EUNNW0Gt9Gl5dnQN1O3zaPICRk4/7oUPLUfyaKIl9uzPTYwdPA1b59Eai4CyAuTNX6B5RMpAGi20
bXd1J2x/Gsw9VCsetRJ/GS0RpqD63tkp7XO9u0Vw0NjtYCJtTUhXideGlAFKClayzq42GIzP6DQB
W8OSF2Lyy/X3IYPWIDujHPG4SLuaLIh7fbumm6aB8wO1ZZu/mM0RKRBzkVFA29lF2L6isvHVfVyG
ZzjPpkMh5Nyg0b3sl52ss/Wtj4am71FMiF7CL46GaDs5NoeD8f3ja0fjhVBF3/JoMHyBpgnk8Xkp
PtTZ8h6dJ6T5njO13csctO0nEzYNaXA9SAI8fd0fFkEk2uJ/NGzFa1dvCcF83XI/MJsGr6HJv8L2
iEzS4ZIwheTUTt4Pwnx+y0VgUmUglQni72k/cPm+DZ3sB1mVmePsbP7wtEW3SKLEpIrmPJXV8x34
4VCo3AzCV9Tc1eMgvD633AkM5TgNlJDPMIb3QZPMQWUVCKy7ehq2z54MrgS4rYSBx8tP3H5vTwPU
AIZYIJt2dhG2Ly6x2H1UKqCIfnq9XwQEEjDENexnG+Ddi5PPd9UWV4KosA3yaFFePr4+7AQwj0j7
49a4q/fi87Rgm0WgCcsEBlzTr5qwyt6jLCMWxjt6JzzTFbZbBJQ2cGug/7h5Jwj9TNyqkePY0UXQ
t08bYQVYFNDofT1dCe8bkAICTNcN/sjOHoftxzP23rOk6TOY432EZBHoz5o6ILAd3QnG9l03aAEI
s4l06H1YYE5hMa8F2rOjn/6DXu4/h8JbgDQQazXMX2E9FaDwYnCN0M9u1gzCB2bLTJFZLbY3MCif
C+kPl4GCTBLRc4d7jttnSWJgrYB3ZdDw+OKOfZsqAoIH8WvTf/77O+FvpFI/uMdTP4jvH6nJeME+
coGfeKZ/+RdeGLsfH/CKRvTIqnvzNwVV+enZT2Qj8d//tb5PgnQWVHUZ3NXqI1Tl1U9foCuPv+n5
3z9/xI+//M0ve/lcL394gM/furzzh8cfDM9vdLVO4Db/d8z/3a/fk6BEA/TlzzbTrH8cg98/HRGs
h5cHHd7/+19PApwyDamfH/Xf/3q7Eq/O2G8fnqzvs/LlQa8ezhW69cMnQgT05Tmvns1O3frZ03W8
bvlKqpdnvXo++3375yOwUH34SplxEFk/4eFpXa7/mGYbHdtFYNv6V8we4j9WWblx/bl7tn7+PP5j
lpVsnpdnvVp/Ep2tn78oH6p008O567d++H78kKYvz3n1xj/juB40yW0W39cfHy8QzVu/9cMkfyiD
dfzyqJ/vXmg0bP94NJNeHvPq0Z9xYo8fyg1rLtASW7/r4yD1NlwEAjS79bNP1tGGO0yQSD7h0VX1
sGlNPuOAnmTVH/+deg/xw6aV+YwjulzfcwG/rMOr3fIZR3S5Ripzw7M/44iKZ+fZpttdUHC2/lqX
D+l9dhdsur0ETvETnl/ePdy/POjnugvQ2/YPz3jvL8959ezPOKbLbOOafMYp5dHojT8MG975Z5zU
1TrfsNEFZWLrBV89tOuPuSOG6p9xRE/LNVfAy7t89XV+xhE9i9d3mzTeRWt662U5i5tkU3InxrBb
P/wiIHWsgvsNKyOIuVs//3J9V1ISpPWGWCpGqJ/wC9I/Jg9ICW/6BZ9xVC/X4heU6bq833iRiXHP
p3yKWfDgbfoQn3FqxYdYcALugupu0+/4jOMrfsdRti6aTdFKILI/ZZVOmqD64/Q2qPJNn+MzDrP4
HMt1/bDp+Z9xnnl+vf5jsi5v15tyBgE0+YyV4ndMMWnccFmLacRn/YayGV8e9vNOFU3u7X+Bj4/k
pnf/KYeaHsbGpfmUwxxUEbLWzcsivFqYTznLWbzelD2I6df2q05ikmxa9U85v39lg/boJrpFg+jy
d14r2z78y4O/3rQ0AjS59br/Xg5/67f+O7vW7R9OgyjZ1JcTE7+tV+b39u/bvvmbLN5wz4vZzNZv
/Ka53XCQjL8+pZvasj+ohx+btS+Shpv+2dtetPgbd/HDuvyv/wEAAP//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73A9D829-24DF-4094-B3B9-F84371631ED2}">
          <cx:tx>
            <cx:txData>
              <cx:f>_xlchart.v5.6</cx:f>
              <cx:v>Amount</cx:v>
            </cx:txData>
          </cx:tx>
          <cx:dataId val="0"/>
          <cx:layoutPr>
            <cx:geography cultureLanguage="en-US" cultureRegion="IN" attribution="Powered by Bing">
              <cx:geoCache provider="{E9337A44-BEBE-4D9F-B70C-5C5E7DAFC167}">
                <cx:binary>7H1rb9w4svZfCfL5lYcXiRQXOwsspb757thxLl+Ejt3RXZSou379qbadrFtuz8rAGC9O43QymNjq
kkp6xGLVU8XiP++6f9wlm7X+0KVJVv7jrvvzY1BV+T/++KO8CzbpujxKwzutSvWzOrpT6R/q58/w
bvPHvV63Yeb/QRA2/7gL1rradB//9U84m79Rp+puXYUqu6o3uv+0KeukKv/i2N5DH9b3aZi5YVnp
8K7Cf3501kn4U+ksXH/cPUbgmErqcv3BUXVW9R8/bLIqrPqbPt/8+XHnNOTjhz/GV3uh2YcElK/q
exCm4oggQSjDFnr4wAkSlflPhw1MyBFCNmXCtH5d9nydguR0jR70Wd/f601Zwo09/P+F/M5dwNF/
/9dncLd9Ftun7wMQf378nIXV5v7DdbWuNuXHD2GpHh6W7h21vdHP1w9P5o9d/P71z9Ev4FmNfvMM
4vGD/W+HdlH8Lwgv6/SHSu6rvx9jEx1xm2HTJGwMrnmEGabIJrZ4+OxC/BaV9oP84gwTYH4hc2BA
/ztd3yv998NM7SNqcoaIbY5hhheAEyIoEg9jHO/CPF2h/SCP5CdAPJI4MIBP1/HmHeAVR8ikmCOA
8TVLLbCFmc1hmD9OEI+Weqo++9HdkZ6A7c73DwzZfycw9d2/xzTMj2xkghlm9NEQ8/EQJkeEExje
MD8/x/YNGu2Hd3yCCQiPRQ4M5PN1/h4I20dEAIKY4MfhS/cgbAsTWfYI4qn67Md3R3oCuDvfPzBk
T8CfL9/BMrMjSmCCNU3rcfCKEbRYHDE4BtDDsH4+eicrtB/bXfEJ4O4KHBi6i2STZe+ArjiyCLKw
eOk9kyMsbMypNRqxkzXZD+uu+ARYdwUODNZ/J3mYvYc/ZR8xQS0IfM3HUWu/HLUcPpbFwZ9+Pmqn
a7Qf35H8BIBHEgeGMPAe62aj1+9hmm0YooxgMM+vOM3oiNlbAsQcOc1vUmo/zi9PMQHql0KHhrYC
1mbrYJXV+7hZCAOZQSnfP6qBz8LUtC2OYbw/H9XOG/V6BfN9Z5kC+z65A0N+lnxwlQby4x0mafuI
E8Es8hQ+ibELRoACEQID8OzBEIwokDepth/5l6eYAPtLoQPDXNZV9R6TNzhlGIw2em3yJvjIskyG
wefeHeaTFdqP8q74BIR3BQ4M3U8hzNtleP8eCNMjYSOL0sfxihDguJOYwPyIwqwOMRWM9eeG/E1K
7Uf55SkmIP1S6MDQPlPZ+5huAj62zZ5SEGJMfUH0TIhtC2A+d4Geqs9+jHekJ8C78/0DQ9bdJB/O
FWQ4//6Z2cRH3DKBHdl6ZdvPGF5iQgbSpMBsjqLoNym1H+OXp5gA9EuhA0P7ep19OFbrog7fgy7h
R8ICxIlJXuE5MRChwJUJ8ZhxHs3Pb1RuP+77TjIB+X1iB4b9HJLw72LF2RGnmFkWxo/DfOyAgxXn
tgV/8KiOYLpG+7EeyU+AeSRxYAiv0nyjw3Xy95tySiCGIrYFWcj9QxtbRxa8AhaGLPT2Mxrab9Fs
P9YvzjAB7RcyB4Y3GK0tkZKsH0iV+m8uDwInG4oKIOX8NHuPSVKIs2zbxqY1Lg96o1r78d53kgmQ
7xM7MNRXWf8evjiDNDSBdAd/4sRfWPEtnyoYA8x3ffGp+uzHeUd6AsA73z8wZK+3jMl7lAcJID4J
AS78aYbeM5QZsaBMTIyo8Oka7Ud3JD8B35HEgSF8stHv4XhbwIc8MGJPjMkLwgQKiCAIg5dgnIWe
qM9+dHfuZgK2O98/MGRP12W5eQdsoYLThDylLZ5iKvSieATSWHDYtNkI2+ka7Ud3JD8B35HEgSF8
ttbvFTVzE+Jm9JTAeGGcyZFFMcArRhPvZIX247srPgHeXYEDQ/dUlR/+nfmbZPMeuWjzCFmEUPtX
mdAYYwwlYubW3YYizz3h0xuV24/3vpNMQH2f2IFhf6bu1d3fHzQD/2kKJKD6iz0SIy9q8NERsGWQ
x8Jg1J/nMSYrtB/pXfEJGO8KHBq663uoMPn74aXsCOpLoAIMTPevQbuTpoLEM2JQcGDicfZiskav
4LsrPwXgXYmDQ1iHuXqXNVL8CPADhO0n92uPZy2YyW0CKaqHz2ggg88wVbPXsB6dYRLaI5n/BXj/
tYo7N71dTfXvX895z0K4t66D40dggxkT+HGJzMt0M9TwYk44hoG8B2Mo2/q9du/RiO/TaT+6z2V3
7vHxFv/6ofyvW+cG5NwHCRHnWt+H75KJgDVtsGAR2/Rpncw4VoLCAQJ19mJcN/B2xfbD+cp59iC7
8ytY5PmK5IG9AGebDDyt98EeOK4tc8n5U4ZibKkJhWQzZ5Ru09A7ztZblNqP+8v72sF3/5rWl0IH
hvY3lbwHUQ3F2xxIaigAG5UFQUICDnAM61p3EZ6qyH5wd6Qn4Lrz/QOD9Drc6HfxpaGojyEKq+DM
R196bLnBl4aDCEqF9pcOTNZrP8aj+5qA8kji0HCGmXqu19ldWN6pX4Npj1sDdTtv6znAoRQAIQ5J
pEdXapxlghptqB7Blk1HMdN2gvyt0ZRg7hWg955mCt57BQ8M9rONvoNGCs7f3moCcsmICfa70m/M
f8HwNm0sgP56HP8jAz5dr/2oj+QnwD2SODScYcnBRm/6d0CawewM8zNFT6tuXhhyfMQsZjI6Xs4M
RZaTdXoF5fEZpuA8ljkwpM83zfpdVq1DZS4j3KboifzagzPC0DnmRUp5ukb7UR7JT8B4JHFgCF/A
NO2/Q/UupVDyBatmbPbaIkloXGBBXxE2LvaartF+hEfyExAeSRwYwjebYJ2+A4ENqWUo12OQmXql
cBOcMVhog2EtzSP7OZqVp+u1H+eR/AScRxIHhvNlsr57l/If+wiWUGzH8hPBuc9W821pJ/ntlD8n
SKbrtR/nkfwEnEcSB4dzDa3n3sH3EkeCMg4rIZ/G84v1FugI6kQgIUlHhdiXyVSNXkN4R34SwjsS
B4bwt/rHO9hraNgHKQiosYb1UA8fiL53E46w8hFaQNngXf+K2R/bQE3VZz+6O9ITsN35/oEhCz0G
s7BM1vV7jF8OlVwIeoqw19p8YWjIuK0T4aNKoLdptR/lPeeYgPUeqUNDfH2nofVXVr0Pl21xaEVi
Qh+Kh88Li70tIdn+gerO7WfkgV2/SbdXcH95jim4v5Q6MNxvaui7mr5L+xlYJ2dDHhLKrR9AfZFw
BjYMqHCMbTKy42/RaT/aL84wAesXMgeGNFDLsIxGrvWP91lIY24p7W395ith1rZHmLAh0IJWuw+f
3cn7zertR37/aSbAv1/w8N4BKE2APsLvYeVhaY0FyyugVuwR3xdJD7DyiCDo0ztefgFJh+lavYr7
+BzTQB9LHRriwbp8jzZEwKpA2zBGbfqal07AukOdir3tKvc8zr6erNErSO/KT0F5V+LQEIbRc1qH
5YeLH2GZv8fAto4IoAg0N+Q0tx9wz3YDMlibAUtyoBXNnmzmG1V7BfNX7nEK+K+IHuBb4IYb/z3w
h1XRGFZuwMroEfBQaIbBBEAl2pPJH410ePSTdXod+N1TTIR8V+jAwL6BJTqwO8Lfz61tG+nD6jkA
+8lHexGpEeDWoFcobKewi/UbVNqP9PgEE3AeixwYyuCRfjiDvR7eY0g/FHxzWPb+NHD34AwtiaDU
0Bzh/Cal9iP98hQTsH4pdHhob/00XQ9//7DeruHgkOFCv5bojA35dg8U6ECFIM25O6zhsb9Bq1fx
Hp9jGuBjqUNDPCzjsFf134/3tiUVheoy8qvZ/otQjBwxIGAtWLgzwvsNOr2C9vgMU7AeyxwY0rcQ
/9TvUlAKrcWgXJSi15rBblvLCUh5MjTi0t+g0n6cxyeYAPNY5MBQvlbJ+l3We8CqWehaYW/LzfbH
X2C9TQElwy+Ilcka7cd4dEcTIB5JHBzCmXqPEhXY2MikgsHuGa+VEz6EYMyEVXojew0dK6dp9BrC
O/KTEN6RODCEb2poM/UeZWawgwZF2wKjV5IhD4Z622jKGs3I0zXaj/BIfgLCI4n/Hwi/vkPd763+
3HW1nj1sEvhsk7q/PvrwgGBvw5HoEzu5v+7/kblc3f/5ERZcUagCBQf591qA7Yl2uM3fnTV/jdJd
wQ1wsX9+hC0HKTR35gKocFggAG1NYFC3m6dDMKML6GFEwSBA8LUNvzLoWxr8+dHc7lOIwMo/rAtC
ULL28UOp6odDGLhWBOEcYeDWcRMajf6610uV9L7Kfj+Yp58/ZHV6qcKsKv/8CFUy+eO3ttrCLAIv
IVRfmNttA6gJQQMcv1t/2m4tA0/h/1VeHZXJkJHLTHVLFIen3I8d2vSzZ09mz2WAQ9y5ENwJVORB
JTz0BRBUEGhYv3shw0exZQdxe2lZLF5VPrLNmTXUx2mYhlIRP5ZGyw0XV+pC9PVpEeefOdG1k5dV
57RpVM1ijeOTRlvCpUogh/ZVKA0r96XX6q9tmedOagdaBjT3nKBMrnO4oEPy5FKhMJOYZ6G0C1K4
ttH4DuWpKdPBPinSzhER0k6Gy8EVFltSGmdzjzVzYlqVWw8Cu2XcyZybXwybnwmzFhJu82tgJspp
OuuaEvrJSLtzw7DOqxA1ErVhJKFD8EqL5rz1Un+WCvzZ8+1EIr9pXBKEgayb6soyhnlr1l+ErTfE
59/9tP+mh7SQcc0zN+nDS0t7J4yn4Ry29lgy4elFGWhASOvPivnL0DZ9JwmCEyTMH1kbxPMmRbnL
mj50EtXlrlH7Siamyua4Gr7jNG2cwYwuTFvP7T6xpJFTt2Dx95rjz7r0z1SX1lLh/hMv6gWwhEuf
+YasmjIFRWko/SoznYBY10afJ05aFbbDxXdRpTNEO7cugkKWtRlLeCFc2B6MA37RIub1T7svQ4mY
dWY0tbVCWZq5hWIO5v05aWun60tTtgEO5zFOLoskiOaUtoshNc983/Nlhc2FaODZBm0cSINZjZsX
4nvWWEvRx59UNvQuHcrbkOHB8UuhJa2S67KtV9iKG1dTdIdg8Ei/7W+TMLQWHR0uSJcxWQZRI/Wg
73FC7kmbECfu8FIlYgV9YbETt+0ija2rNLbdjit2yumQOSzJ7oYo/xrwMnBSpm5YE0euWfB42dZ0
wXnrEOrN7cwUegavWCA7sw1muAuKdRYpX88H26h6x2Kdlhh1cdjInmi/XJptkbmIt3Nst6HEhe6O
k8QqJemxgzy80ia9b5FYhRaeN4PSnezjvLmNLRrGcHcYDdIKLcutOxy6cURWNDeXuInPK+TPertY
eyz8hGNjA/2XYlmI8krB23jTk+am88vK6UTrqjbGKyO10lnWNqe2TpRrlCWcN86cpmzCVVL77TcW
8XLW+fmZHyLPKfNuaXuFDMzyNI9it6nKZdtWXwcvi2QnIqeJ0GWk1VnMYMjSLL5MiHWSGMZqSAJT
Bn4QzIauT+dRE96ztk9l1EZUdjX+FFRs0alqEw9+63S1ITOWf231LL3hq8DUJ3FlLHvG112Evg9W
Hzs86UvZJ98T87ppy2Vf18e58mViaBll2iFzhNxAmJUMBjprqblsCJ1rHCgZDnmzoDyq5gjH8Dwb
83tmYll1qnU9Q2tptvmixtlFr9pvWkWlDHvztqqQfZYbkVncqKhxfNvU3lKRFCf/zYyiF1YUpguT
QQcWaG4HSRiI9Z+b67Isqen1rL9se4dLc+Edd9fqbBVV0lhnX/JZvKKOJ72T3IlqN1rQ1V+bcZj/
ns0WWyMOlxew4hgKMsmWUti9vPZqqzFYPVw2fJ17K4EqKbrvhkrl268DS+YQBycK6scQMJbPb1NU
MGeFXTNc4vA06EqZJBvhr9q6/C/X2Z39Hu8HnifMgRjBOq1tDdrz6xSFmVs1DtAls040u8ipgvf3
y1/fi7kPs+c3M7pIHSBUknj70OblbeDEs2aJ7m3XzqU6S+Edk5/0TMt0Tpafz203kefNWTi/LWfe
7Co6buVSu/q0cuGLrprDf7Pbv9Zv2y/vBahQzSGgSg+qbC1rpF9SDwPOeoQvLemfe1dohs7wF/+Y
tI7h1G4vj7/hReecF/N2aVlOehJIepWDvq1MnAdVnhy8Jzfh0Tu5U3mvQz942mj694//ulEp/H3Y
tvg/v9zuU/2fnxYbta0BLcdf2l7n97fgMk/X3TpuOz+88CR/+U8jX/FxJ+xXDr7NkQRv53VH8nH/
2D1eJEj99iKh8Q7syUcsaN0CTYsxjMzfXiSUUBJIz28bulBM4B1/ciIh0oQWLghCkW0OB7YIAmSf
nEg4BFtNWFCaCS4Zgzoe/hYnkpLdd9xCsOMBtBqBRgXQUQQaY2+5iecDSeXWEFu9V16ghN7Eqrwm
pXWSmuVV3OWRbBszOPaRbFNsLqO+j9w0jr2517DWqbrak6jIC8n7tnZVb3xC5jA4Qc6xbM0KJugB
X1WoINIUcK6Mq2CWRDleCV8TmQfJteYwxQyZsiVW3ZlRICXTLMqddmgMx+gsz+UVj2ZJQwypq7Y4
B+/jBlb8WWe8GbLTiJBKKkYK6XulPyMJX5il8KXdqNZhQeDLQWc3QWZTNzHSXCJdrorcmnt25c/K
GBPJzXQzFMGtRokhYVpbKmpcG0OMpVeUZ8MwNHKw/B/QriWShVX3jlbtLNOrCJ9in943sF07dSrh
L5XyfLdtaiKLoY7gicSJmyVd7JKhzGd5H63bQeWyq/R9XbXHuMpbKRDckG68Vanty97gueyzmTGc
1hU+7kz7uxWxlUKRKUUPPpng1qn29WWYdp00m60R6vBFzHQifVTPsI0AEspLWfl+ueLaRLL00k/E
b80rYQR3HcmuysyuT7yEJk6IAzwnhSKy5A2eU6brWe6papbEOnK9uMVSI/uUhMGqr0NTWjpwIzv7
1MVlJNFQ41lBU+7YZd9LJtJuxhAvZn5RNdd+hWAqw+KLb6hIqjBfFCg6LmN+Y4phjQ0/W6R9LCtU
zaImEK4iQSxzqgOZm/myRQ1xWFUcwxbEJeBXLARNIyf2cIYuc7PKrsFXgQvrUuaxuhhMfReqVq1I
Y1zCC74WKlRSR352HMT4qy6aMx2I2jVsM3LDlm66tt40vO/nEJ3ksihtb8k760cKQ1QqUMWJQxbP
w7a+tohfnqQ2Om6i6Fs+iJOhAA/VUsFCtcZp0fe5LJGN5pXvYalir5W6LM+raIDh09wEvvejCLi9
zKjoZGSk195AwZkk9ZeC8lVcVP7SttQxpB4SqXqWzu0yWzHf+qwDFBw3FTi4cTRcwznb06KxGvDv
lJpVPoOAJxxC2egsnmOxBa+jvYOYx1zsmV9KFWmnGepalmWWHZek7pzO4FwGfVjIpEwqZ+hK9dVH
nr/MgkBfRswSsqWF22U9ntt1emuTIYKAIZh3TYRlSVQIAOXZzEuielaGcQijvSKrMlSBVBELXE3q
FRpstCrsYMWxlywY6CILRnsJZrGSdlpellE1SFVkS7MqlpHB3EgNlYyiKnLyxMAw0szKMRABx9gM
uCv80q1MnEkO/zBM6zLyhVRl8xl30Yml62NF+3Nh6uuGN7UcynQRGF4ss9QbZBbj86arP4fKymTS
B5epWV/Ffntrx91ZmQ5fS8/kMm4qMDgqumUNOTY7tOzL8qayGZJFnSGJlKJSJN1pXBYzjrSap70N
/rzuzjxNr+KsT2Zdi2ec5MekrjPZl/VP0/K+hz6+MFV0bjT5ZRHxwrGb8ofnWZ2s4+FrEpRUmoVt
z7Io/V6mnEiv9wJZkfxGBeZJZ+Rq1iTw1lQeREi3tI6sZWiyjC6AXSazQHXHwgqV+39T+CMXBFPe
X0zhD9t67pnCQerXFA6sH7RGpFA9tV1kDHP1syn8YXaHvQYgohQCXOznczjs/gd0okUtYAwZB17l
P3M4JbA/OhTr/KKPfvkqO64WkGBPPz8ngiBjuOMHwhxuEwKsEmXgDpsEbxezP5/Dfc3bKKJ2cmHg
4psfVq0c6uQH7q1VgtNMRmxwSrDv3Eolavh8oP6p6Ivz1k63FExarNKwSGXtG47mNZn7FpojRa/b
sCEzm6vaafz+FFWeywyYw0Jc3YY2yZ0EJ6eBVSROY+hlEpfrlHW+rLF575GwdHIj9R3f6k46u7mP
awzDIEa9iyidsb6xJO6zYYZqI3F1anUusevK4bWoHbNHzKlU1s8z1V+SHmJi4icndWdR2fvVV9pV
nVtm/b1C7BiCntwtuiyHkK+MZepTaQVDDd6GuAQC6EvjDb6MbAixg8AAx5dX8COLQmfwcyLT1Pck
91bUr+Y9V54sCiA7SNvdDoF/VvHsJPfykwDuCWx0CL4+IZ/aEGJk309ncUbOPExuvD6p5g3U78NM
SBtZlU0Fc5NhS9Oky5QCoePZ+Rfb0obDUO/XvmM1RehfVyTKv6Oive0Hsz2p7BLCmKpcJLhNZFTo
753frMIsXqR5y6RZWwpi2F7JmnpEBp59FvjklhZgTOqwvTCgzcEshmDFJdbgzwYR2tLXwlgYqv5E
jeDeSjy1aGPfwXUcnyi2rrp1Lvq5mbN12VO1qDVaJDX4UTpvU3UrcJBdJyjJ403oD/dtF3waKMzZ
vM4VmE4d2PZa4+jcA3p0haoMLbuKqAuiPXFhpl553AvPMUUNTARny0r34DcEKHQCU/TnNBp4KEOV
tovE4l/arHV5mAZntFObYmjIEilfFFIzOxgeI8f/C1W2Mf3rdu5xtfJLO7eV+mXnoGcVhdkYggAK
9uoh6vgdqlBoHwr2D1woMILAN/+2c1CMZlpQlWLD6nxYPgSR6H/sHOy1A9QxZMsEbHwLXLn9llgF
uPexnYPGiFC5DteCIkeIfUZ2LksgxZ6AGheNCOLSjSj9DLZqGWWZcVwn/gxXJjhoRtNLr6lXXduD
X5YSNsONOK6smDk5pXjuR/2NbahiUUdpIjMcgv/F0llU53c+6TD4IVXdeQvGVG241KhvS3swP/Vp
1C6YZt5pYPZsFXXcZQWhTs4bfWYRs5aWT8Bh4vhH5ZU/kVdXy7zNzjWJcOgwVcazsKs/9bi74k3E
roo8TRw/bm0XJVkttc1SmYhMS78WEAiIXMgUtLK7eB75tbHEEfdmURpyadfhPc5IV7tl44WyyqJm
yUpgWv188GRFY1/GXoYvPBIpYOEy+F0gsiXHCZY5XH4Ik0xqjjBcBUzaQIUtNbULV9D2LOHeRaSC
4y4jMGaBz64ysq4SWpww34OQowLD3XjRJ2WVTszUSWMgE4YpjZwwLfrFADyw1LWe2UAoOzpg3gzZ
xud8KK+F1ss8QPbKKoZL3cbA+jLxhRb8Tml1XkBpqwQi7xjb1qVVeTd+A6Fh22q3icVPnYOJqcWZ
VbalS0oD2OfM5Is8UV+jNjlmWfiti6rS6YXxs/PtwKkrMQ+T5ruViU2e8WKFzSB0oqyygYKEx9Ik
NJcUqMvTMGzBmoHV/04ydWn30W2MeAoBrwL2PbO6mWGLdpYCTQ0uZvmFNeU3m3WOMomaxX5Yw4wU
BuC/FreKinieIqDmO5v5bom6GwXQJwlpqBM2YDqzATdAQBvK8c36Mi8TmI9h6p7pob4z8+prE8T3
qZ+Zc4/i+9yLo3nQBdVxBvbeM2w69zPezFlHPWcowE7H8LouaoSAnffMVMPEXFhubtKVUQux8G0I
m6itYCAo+2cfMdeMyx80bwMpvJbPcFTGbs3Kn22WM9C2Tx0Y+7mTZ3EyDwcuWeAJybUQThHCGPE6
CFQaFQyuB1M5TSoq275Z+A0TbmB3F7TxlsTKLoMuu2CxvTKMcF6TVZq6Xnsm4JylWV3nRVs5rOeX
ccq+cJFexFmRQOwR9a4XdYsYA1VehLB1WPWVJwFyVVdpiDByMSu50I4SlZBVlM1VnJ8RUi9KI/1c
+jWEU/5plebpEpPSCQl4DUmzNOs2lrwV8LZ33UWakOHYRsm3oAzPLZZnkqGWr6KCnxKRnodVvkgM
CpFK2RNHxfEgGatC1w+w7Rg+Dld1FJ6SOjzFaf4twV0h7basJcQ5n01ufal1eUHS2FwEsRJuF2Hm
WIFpuRo2SgKOnEOWrK4Wvgn+mGBD5xh9+qll3pfBA/2KHAjSIaRgekDOT5MOoq/EBTZ+5Q16U2TU
nJEhgXgV8jrIV0Cy9CyWAh6r01TBF+LRq6qlwM6HdT9rotJ040azZVygn5BDPDHD8DQMAi67JKXw
WhcuSsNvA6M3nge4a09xp6iAAokj/MmyxTfsRan0aXZFjK6VeLB/MlEvqsHoZZHZ3oyUzZUO6oWX
kZsmKM9QY/iS5/ZxqCGP5PH0KoFkSMdD4zhok8+hVUFqpOqOWW/PGj/pgZcnlhMVSeKwrI1nidkp
d0DB2ZC1hrQ81bmGTn76g3dT5ODS9ZjEcHNBvuiC6F7n1oWvIDJEdju4JifEyYCMPml9Y1hWdj7n
LQfupxiuekhFzYymyp1Y+NcdDWc1MZYCfDoh0gZ8H30Me8UFMAsEvlMUab+gLaudhClgidL+a6q3
8T1aF2UXLjoS1I7dNuesTj8TqzkdgNGSGQlnZmPOgXOYNco+CXO9jEqvWg7wEgGTxUIJbN6i5/hu
wPmZ5YPN7gT4wFEwK7DeVFF4VnXFeuj8GQ9hdJY9uMAUf1N2BkSMHcuu9WZejJa8AmsKjqq59Y8g
WwSWO5c8TGzXirMEEnH8Jq/Ds8G0NnEFhjKkbBtI8iUMbggmh/AM01bLrhQXWgz+gpjtbQLvrbQT
EyirVgfOlmiDgXalraaRjA9qAQ7rGuZOPVNhUEsj6BXkCym7sG3DXhjQ/2GhS/01jPG1ldWJowbx
GfPqWxQHngQfsZNlBa9GwnOg1Do8H4j9g3p2t9BCA+ukfuioUDKz1X3pDYkUEW7cLKDDeRZHluvl
xSXMeWetCcfaPDipRGZCTlM7NDfUTKT1vcdiIPZ4cU+D7CKKROl4wAI4VeOd4ZzV0vT7YC6UaFy/
q0zpRXWyHWUF+OTWecARjLIcksxGqOaq9pe9VQQzDnbSgIi8NbLrXg3BIjSi7zHP76yWOzRI04Xn
xQvwIwADr7nGVo6doin48WDwVV4B7whGPHYScI2AaBt6hxm4vBCD6fp9+jNGsXLstL3ouJfI0vBP
EQ1TR1T5T9vI/BkUkX1rlYFnRpECsZ+xdRxYlsx94ysqau9K29kZWPNSeGdmEyyC0LQMJ6kDG7zw
WBTnKklUwKQOkQ+hTlg0EGVhUQSn/8cXPPIF4Ha+7kf/3in9pSu9TXb9cqWBMth6w9BAAfbCoVCj
/4wywNA5gyCI/WG11qOX/Yv2h52RGIemKIzAEswHf/kZZQA5PBO8HyByGRgz9hZXGrIPY1calgOB
Ww5lJMCjmnDeXcqg8L3OMnADtL+pbtst79cAAWgAXSF5VOpLY9iyg5Af/2qBZ+IIKwFXkBvgfaYw
eZVGkx0Pfl/LeIC0LLgfX2IgeF0d2b2Tw85f88GswBna8pRQB6GdyqzVrPBE4xRbPjMCYrPeMpy0
s4NjlvPPAshPSCRnczYAoc2BGIUcoL/UQJVWYffFa1kgmyi/1ioAwtkIxRIj/y4DorWj6MRI63OF
AuDXtlws0hGe9xbOZQ5EbdKGi37L3IJpOon65JtXkeOK5eVJACQvgtlo7hcMXMYWeD8GVDDTsbGs
tuyw7qwebEe3YYptuC0it9xyySWQyqKjXzOisuO8TpSEHhlr0gRXwZaJBjXvRAaujaWlTRvuGAFT
6raLekhRIAxODgTiFkTdSYTmvkquUi8wgPxMNyzBs24boaskX5gQs3PdgpMQ+0u0DefTxgKn73/Y
+7YlOXF1zVeZF2AFIEDoZiIGkjxVVdbRZZdvCJftkkBInARCPP18uKe7q9179YqO2PtixayI7g5H
pzOTBPHr/78Tdl13deUlxeQtt1RYklXAASrgAfMGDAAfajMepCiqG2xQAz9oZnsiifmsNmCh3yCG
CVjDuoEOqe+e06a26d0yWn7dmWXFGAIWnF0Lr3tbJxEDnJzrYqynKG+xoWcoxctBVZXK+qpmp653
4p7I8ENQCaDErvePYSqylUvysvo06xTalOlpShp+MUZ359VXAyuEJ49d3Ba29h+Cto2hK0hBEVWg
/6VfPVc27rJSTGlGPFPvCKdgB5Ju2cWtAWPutXe8LsssGbGLJf4T9cDP2BrcygQtVJOco0njFDv0
nvXysYurb5So69KrAQ8HfZ/ZwaiMetOXSI0uryPy4oXNZyhqgEpxenAsasFP1cfQ5489bcfdMq17
LyTo1NZ077REg0fB78jrpKQ3weRBoOTco1r1m9+0aHGmNMmS2M15JzkGJq/+GiTeJ/iy904sD40w
1272nmJPfDZgyKELYoCcvat+GS4+KT8sur5yFtNpX4bPXBGdi6F8Khd6ZWqcoS7k0Z50kKrIlF10
GL2U1H5I/GDNGt7UgPuhoqGV/zpG7MEO9YV3wz4sN2aMzrc2iB6Iw29RZXU/jMEJSak5puozByc1
Jfaq8+JX7szzplDiOr7MUXwrqvVIBpV1PkgEObpP8ZSmh5p7KpMVC3OACUDgem8CWdUu2OrnKp+r
4dMwqjNh840k4Un46/OkRYrzUZK8J/bUDXGVY8H6Wec1D2NFXjui2JHKBnNpkh5CU5OiqUxalKYd
i1CUat+y9bhGYZXVnapPmnb5MoK1CNGnbhUXVSrAZBbNd+0E0VHYG38/ze6e++BrAr8/+jgFqEn3
xCU39cS+xkmAtUWTD2ES3ZCox9A0ATiYXSd27VbiBow8M/cfQ6b3DRV1Fnajysa+PbMgbo4K013Q
mCnjyiR5gvU2rfwx8KNXqhq942F6I2dRHjj3vD0kew8BJUPWcxnkLqSvYUVlEQDayKKkKxzx1kxV
YQTI0u1lNb0NZi0f637FgD0ET7qaNRBWWn3thHdJ2nku2hE1oqo+WjGjrRNHFadvK1QvhdGgpETn
51L1aFCqMfZYBqmc+qi4R/nNGnL04cncFsh5uorT4YltNMSwERLr2n5u14oVXTSTzIC1KGcQEhQ8
RmK8Pl+n4S6qmosA00HAeCxgPoKNAiF6ODdriNk0aorJxPdgPG4m5o2YtkCg1GBSUjAqvjcQ4AQg
WWJb+hDvTE8E/EtV+ucGfEy9ETMSCDqOZv3ENs6md88qtvedre+wHnASwO4osDxrLHxQnhhQZ18f
po0KWph51OCGgmQ8++CKIn/5oEOWleCQEnBJHYt0luIPy0Yz0SYB4bRRTyypwqza6Cjtg7JCjd3Z
qjtqMFbDRl1RcFi8TgDubrRWvBFcmP5AdXX1ad3IL0/ak/5Bh23EmN4osmEjy9hGm7UbgSb9oQKp
DlKNL1AGbjTb/49d2fveKob38a8asvdPLfldBvzLu37rxvAsju15Z34CdBMDHT7wN2ATgShbbCxa
qhQ0/k9K3oAiJdr/hdp5L8LYnoKHDwQgkiJaAQ+z/DvdWIBm8J2OB/wNQ6hlgDIL6wgA2O0Rxu/5
G7OStuuxdV20JayYbSmAtJGaylxSO98nXuzO9TJrWfi+NC+mjeYPMhoBQYxM9x/fnb3/ik76E8oK
rfMPwBYKk2hLFPjj0UTadZKJab6EvQ4uHB1emU3QT4p8wW3Jshm61xc6d9j0BpWaPu/rAZhjuY40
ypH9qL8xY/xbfIaYdmHTBB/W2EuDg0vi8nvgvGDZ//URhwCffz5/EYKegQqzmPpg6n864ooKXFtn
LmSJOd8ly9p8mGHFIXtDHXqL2S0B2H9aptlKE1dBeOmTg5oHF+yGuTXfoFQbUSG9Lt6NpmrB4SiB
zYMOseQFb2txJyd2ViMT425Du59H0V/JxgIerIBG3gD1mNXhr3/Vny8DUjB90Ho0wdogP370O303
dR63XteMFw0a+LnlKeQqkQyxNDo9LXd2GdhjVwbNp7/+2p8HAwiBMJNQKL2xFvGf7bDefW3sLzzq
Rq4vOl2DSyDFdNHjkFdpKf6FfO1n1nL7JoakGQw8SK2ADOmP39TpyK39INpL2vnRl962Q3MoTerC
THaiwKjbrDnxXdrmNYmt+leLZlsU7/Xz+JXh9ozpiIBVQHX46evBV1SCa1VdaC/jL6qe4i+y2Y4h
XtVYJAPwX+fj0h9s01vIemRLv5uGjSfLXHS9JGSAkt3WrcxrqtUHMnQhARDq3PcOvP/O91boY2LW
RsMxJgkYyb++TsGfLxQGTJQNoORgZfAMkj+ePj+ZYh3HpYf2s1RfqsGMPAs8CZV3RpzT/GxFJV95
yrrrBRKnfdJGy9ZszfTNUOzvuQMqmUOmMH+vMGZ9m+NO0PNfH2T0J2p6Y32wiLacAtjUYwrq/P1y
Soa08gdhyA0ktl3J0p1hYj2AwCVsb+Zpyoel9+9n5eIJBK2g+RDowxgOAGOjDoLuplcPXRMr9B6N
5R9trdqTGzEDdHHffUhGaLvLXpf51NY1CEVDaguMZ9QX23njbe9BJsx5wOoMA61WOYY0dYwT0zyE
Nb/jTpMlaybaX0zZP5lQeQQK/BAnsnIhakMEhSU8AWl93Yg4fSn9KToLsPDXK19mlltfRCrHoqtO
XjpA+Gxduu4CG3u7tV6+dmNvHiffw+xilaH7cuynU1SG4VMvAisPJcaWKluFLF/x4Pthzirde58n
RRUwqTE8yVZ3p6BnzbdqxvADCY6SjxXDGJDNfcTPGKynHIBVdwDewG57CxlWZId+HwRLMBcgVgOe
z5anPXA9URZqJMNu6titKGHq2AVBa47YaiAX1X6dZKmhzadF+eIqHFj3GBMTHyZWe+F+TNT6JU3a
oQCpUa/7WaZ87y2L/yUcG/s28q6L8zU0Pmh3Hs58v5i6xc1hbeE4ZqH90JZiB8ZAHTX+KgDwaGhx
otVMs3qsay+nYCQy2sbLmkWmKXNiPK0OQyILMCXOv7ckiHbVCJke9EJRb/bEWDbCCkCX60Sua1Pe
T7Y3SmWuapwevolShOH6MlpvoQqMx4BS3n4NweIZdN+TmabOvxhplISYpurXw8wmU57UUFVdVodN
++hTj5xqAMhTPuEalBlGW7TAq1BputNlif3QNNL2RSIt9/OhMUF5K3oAPO1ROmrFzi0NM9fJaAhW
lC3bYLT5hL1wn3iiLm9n3DoJUOe0S7HgiIRRQzfVwLKmx+ZVFhihktwrEeQWZ6704d5oIehTOSAI
W+5tQxtVjCW6gn2suVrzdI1RMXUooylXYvDQEY+Oj3dj5SlVtLxK37xpxli489vQHKoondJL7JW8
PGsCnWWMvncZ+9UBL0Z1E0XHBVVFOc5rv2fDqKu9axLljv44qi6PQ9dUObRzrjkMVV956J+j8KPX
qTXYASGWaod/fe8WMAfaf8A9+mOtFFMnMjDTFBLmgId1MoTsa68NA8AxYqRQe4lQmEM5zJ1+xGZM
zjVfQ7mfOhxB0ZqGr0UaLCvL09p19kalDkvbw60ygJgKpvNA4rjZ8ZLwaUf1jMtZ0RH9iV5rsn5v
JByeuxQHoHbEKQFm0K+iI8cUluShlD3ZVW1V7taplPDY2KFjd3Vp6ygnVV9jNuvq1bvyyybaB12J
2Z4KCFCKwIm1PYkqsEBoWCRstv29LGAV01g+nPT5YivMdmapvM+DdlDLZhXuo/ASrD/kfOkceeTJ
NTacLgl0Ge1Os97cxJPGlsRHKvEGpqA32peVCPTLGjRanHsHrmg/2nitrgLDzVNUh/GXeClVmaUB
Fu9+0gslxZisFQ5+Cmq1A5krR/AYZVEFVf/SWIvOoub1/DjGiX3tBkGOM7W8LFIJTBLgfInPiTGX
LXs9zBi5lo5E96OJg6fAQK+X2cQb09wEji7FHKq6Og5LGGIWgnIvvK08yp6132+Ls6778UCbUYx3
i4tMCrYPkhRYgyCF27Vg3gJ4QjR7ho8OqxuAlRx20C8v7ckA7w5hQ4F45SFMNYtOS1TbCdSJ2ZpP
4Za7WHrJUrRW4avbdtPuLqEy68GXdPvx26Fb1CccV6eCSxSDVbuf+hinCpydXHMmZ9w6XcNlda8H
ilt+mNAVcLyGmhoaLW77IHIDplwQ2bjcdlimG+WJDmYSf+qX/YIHkZDCzX24FQ3cTBjxAxSQhQVb
n2y0ei5Dws7pXAHPS0UssS4cT75YTXAYy1C7B2IWf7yCyy6sr1qQsfVjit3iMGo/uPSM9y+AjpPN
rSOq8NymnEHRK1o+79xAeyi/qCOHLsRpzcGKuK+ykfHdMo1+e+x9N8uPNlEwK6nSU29uZVsNqWDa
2mEOSEkB6lSM+y5R7KPnA2xRtuPQd0coc26w4qFqzXjF1MbNxOEQcpS9GELKWYTseahhzyuaUOM2
WYHwsFOk26D/rlCQ3TkNsKQKu1XsooZ7roe2dJ0LbDK2vwqGKUzykjVmxk5LZh+td19/hgmPPXkO
bfp5ZWYIvhmovsZMBQGFMsqG+KhFBWLNIwuz2wkSVQHrg2TJfgUyYm7AiDWP9TyCqqXjMVILPGer
TXBxpA8gBPoB2bY3Olmia88ACC9Er9V8xR2opjyNRyWe0ImM33ymUUZQOsc5kwIahIzZGYIJXbr+
seF9UH0K2pWkEIujA3MfOkM8QJz9WA6FoJ7kZ6/s7KvgvjeDFRpho6yYH9wvo1euh2GC+qAABIJF
Wm2I190imzW+qKRrgAB2s5/cRIGIltyhuxkLKzpcNZvqisP9RmHCTMexgUONLFBLNGE6HNYUIqpM
RgunO1c6H6RYNyb9Rxu74KkWA9Yadjr2jLUOTEMzHaDAhh2r96kSiYVq5AVyPJsGmZQz/RCHurc7
G3MT3URlk84PfQmjHjZ3rOiiqwiuJgYHt1xXxMj2mg6dIHfhAiT2BNkAw+9aFo/fyMHr7E6NJWoG
urHJ3DRNieMfmOT7UaRS7Ozi+yfXR7jvHRRAgJtLQW9+dKX/3Qqwm+rr0I7tm/nZrfLerPK///0s
LTEmiX/Ob20PDHwPv/zip97e8yuYApVYjBl3e5J0AKvh5oT/DUzZHpgGasuPKPT++ONvKjHYVuAd
RjoG+CsEnaAo/K4SS/9BAuInKUkZRngYUv4OmAIh2E+DHT4AaA46DEZomGKA/uPIYQZb6yasl9vO
lF7WpWZHy2Fr7kVeh87s4Jlqn6o5aG5DNIyP41QOR88PpuO0lgHUkdBesLY0WR+RCwFGUqBXwL1H
6+9kTebcwPh2Jfr5FW0YBNsOuLTsm+WOcQ4fs9I0Z1PZPkUjnAf+RCGgYru5Eu2t4hvzgB3oARwD
oEo49Qo+l/AoB8EHNE3NsWnIdKgZ6nc8nYhLn3g/DXvscyGa5a66bapF5VHCPnt+Yo/Mps96DasP
fWTbGxE6vTcr5LOe1Av0UQ123iAtsScZduxBsdxyGwIeRwd2tB1lu4YTduw0JPic00/tCPQ/6moo
4iZ1PUHLJZn3YmPo4QwUwKxFexiL7owRqJCU+0XI5zNu6CtoHp5xNm/ggAERb9rNkQMprJbiczxH
X5YETTNosY+8lx+HWDdFJzhmNF49mmhsMtJ4oAF1QPOE86Nc5/7oJeo74aLJYPI9JwOgfrNCIsfi
ut4bL+Z7UVo/0/H6ggtdo+3sHluvvESNe03X6khKCGWijnwr3XjnjXq+lmk6ZADS/aK36YVg1wNv
v17iFpfUgFTqnYUgibyGZPi4WvkV1RqqIyHOslluE8BxkLYEBtSQP6IlDE/bU9jBuC/jznJ2C/W3
yUMVQYSXXMOFnRYtJSXwYfHS8fUeydtXEBnB+rygI0S7zjKsjyVP0l6mt8T5NXnFjh67EzUQCVLB
r7wyWqHKCQa+a2LoMwSNv3sjXClTGmHGdyBJ4dctWR1DeNPAnwIZH42hlwtVcE3QyGfNPNdZ6Qdi
x+MU/Gcsi7QPUqgN1vBhiOEmmdNB5xGXX/uwizInKldUygGmrhlMthIueLniJFdjefIcGhkeg7Cw
uMFzHyuV8O6h0XrBykYjlrLNjKP8Jy3KETA7bMutXrIhxjBOWaJ2YWlhXvfROLnyu3PhsfLS+CTj
+GkwJYR3GspvSXLgRZdojJuTjeIkU3ZCH4AtBLN1dEsNpM9LOhjwy1WyXwY4hLF756WJr/3KdjnT
juW+F5+HZqrOgWuv+qgJTn1b4SoZljfk04gJzbN8b1e67CPwwqYHPp8zBW8+vNgZpCK7tG9eRRPv
07bDrY7bpOvoghOrPndiPC/UdifpUbg9qyC4FRYm/HLyxAN0FvysI6h1prS8zL3XZjVLitBh82v0
jHU+Q/lVdsu9wxiIWbKTaN7XNJvCsDz6vYmKdGyjg+MlA3bUjyBW9RUXPsUuO5HzmPD13NeBd4ja
3i/avgMsDAnNKt3Z8/kniO2x49YVEhdA+Z68KmK5kN3ZIzbnC3r5pO5eelrzt1GrHRO4je9pXX9f
69WgxWcEOrv/kV3232//3JC4f75/Xn+R3/+8f27v+W3/ROTylvEH0UUEuHrTS/+2f0JlzcDQx4ja
2FQeeOl3aUgMhBdOUooXwWPgA393k6ATimG5psCJ/Y3d+BtuEtAYf9o/E+SK4v/Dxo19/mdrNUhU
7Na9jm/l3KAWcdWXj8sCoeYxCSt5sHA1ZI6CG+7TeAfirTlFQ2zzePLioyyBzykXqhuLqAOZ1Q0M
cssE7T80knVGUJ/SrVDZrWRJmPS8rYjRrZwtjb/HaALFE5QjbE2/x+jcAd1bvit/1MMElVEv9gpF
f++ls0CzXE8PCLiA929JPjcLhJRjLVhhg/rQYN5ZSXewIX/oAz3t/MStuzGEyV+r4WiAbbORfafl
dF+R9Hbt0xN6iccq3QwT4yePp92VLlFDBLJARFSdAmY/NYbnqSceVRh/AJyyZOhoBEB50j0GI39B
Y3AiaVfUfvlCGB7bIgg01nNfZtLMmOC27JAK0xKG+Dkfhm5DvNhVTwRa9SG8kmNz6dG4QIDDb3oV
fQFueoud783gRGfMtPnaWpSOsjsrKmmuAN/FQFR9tyLVJKQZW6Eek2H9gXYEEAx157X0PqWDuHc2
QrKKqU8Th1Gmp+NaMAfrXooq3QVlkte2PYa2f5GOH2QLgXJMhnXPHWZ23omvI7iS3HVBvNOBO0B+
c2442hSYJi+6i8KdNZggq2F47koRFWR4mxLnHxOZsKLEvp/xGJgLDd68ZazgCQFW2Uw9BK8VUilo
/5QOqXftseYIycx9g+mUzUBDoxnIv+kAonMNEaTP3Wc4hs4pj77ReCQwj9YMUpn1JRq6c8yjz4u/
3vep9zQPwYvtym3LF29Ii3F7xGKAyh7ri6LuKMeFZUMUjEhasN+xebWZF8QcvmW+r8PpqxODzeC4
39NZfsX8jtfrYRNQVMn4OoPRuF7iGN2JmhZ+MLBkNRiNXHTA70+OygUL6nxcTSyf1eDQ/6XUg3EI
1WAHZ4VmkEHhzXI740B+ZFaViAhAgtKeeX4F54L0eK47IY5u9m9X3Az3Lq3pAX4isN/YHbPFhmdC
aoLdm2Wkx3vWqvNuaw6dLF38FjP1DC9q3BOZycD5BdJflpOiXpzF2A3PabqsBzrHFpLOymDrtxy2
sHlvjfqa+vy2nxE8gyJ1Q6YecBxj926k0LM39aVPOrijgo82jd3jgFn3RQeI+gh7TJEkWOA/Hboi
NViQsATIQgPYnCOA9bBnkYwEuGdBqGLdhMwDNgcJa2DBM6ooQhoJmEXquRsZzkDQdJhN4IayqYEo
C2ay12HyDgGBY2smw0knExyUcXqGKD4+BxwK2LYDpw5caPgc0h52ZZ3aYoI2PYuq3mRa0GZXqaHb
g1FT+YpW8GsfhJ+AR5Z7NuLv2sGmB70i00XKJj60CgKE0av9wyyhTw3C7fqWsGisUXnVM3EAanap
cEdB4DudayhmhcWvRvuxD3h7BeTtUKnSFC1rxqxehxsCl0W+CHi8STrhCq0N8nXk3tTC7ZVW9yKu
IsjnKMvbNL5KYRKD3tU/VLF88efhMHnj4yqhyW0aiHAAPBUY2W/GaeB7N2GwqehwKLvumEzjGycA
22NsHjuIanDDyiYLb9JFPamxbq6ZmO8gWR6zNoK8Q7UQqXFotuLafHSJRlRQdzWV6fcFiGzWtOps
pF0KHiwHmkSP/+kQflGQ/qVg4dB81/rPLYKPN/3WIgR4SAe2/4jiaUvhH41YiPaG8gD/IP5rc2K9
bxEg6QSt/at8FC/92iKw7Rk++Cz8B3kpiKD5Oy0CWpWfWwQ0Lhiy8ZmwfaEX/2nEBghHw2VKGRwP
g8vqOFi7w0Baru+Jp0VYxAIgz2d0EsM9aUpMcWpGqV9ndp3U7HrQTOadkq+4tc4O/o85NFjHUQTR
TEcazLgDWU96IX0xzexepvZtg4lyOsDeP4UHj4YIioI1I+4PPu8OqSaXpfOOXtW8xsOCOaJur3lt
72VYYY4xw46jMlMfqvm6xg042LxiLfD32h3gjriEq7+rQpBXVsTNfvLd0QXzkGkveK1VkC1w35+G
lH7qInpaB/u108tNyoB8FiV+2wtDYIKBDB2UZPt9cOlOgvFA9w/fh/Tb/naF7gsBRxrkY3DsDTxT
splza/w6k8Qbik5RffJhwCom7fm7sV0/KoAHoN9BKNZjmA0yGooQ7hARhYeaTHw/SAKV6MBpUdvg
SyqRpDQiK6uPKDKp2ulFLeXnqa4fhW5vAYIibU2V8V6NMO1qX59shTgAVo0LhkkV73wbzTDKpe2h
EzPZTaCLchC6CINy9yqWp5H3gOjD+ptTcwrPBRhmEHrQjSJfiXD3RYcT9psgeDOhdw7gvLPGXdeY
rDCimhosFNUAKyZ73cIvunOR52VLYq5X2XxXnrafcD2vTPx5VcA54Ruem+au6eszEg0eLTIDcpjF
6hF05aZh90I9rQX2TWjbAY9uQvfgh+p94TE9NWMaeXDXQrGPkX+BG7hnNyH1xJnKdj4gaKKFjafu
sCf6yKWAiZY9lrLEXt382Lf7dk2O87aZQ5kYNTvM+PyAURIbNtVDeE2bZvqYtkl6REaI/4vy4r8b
lvx3G5i2Bzb/1cD0fxokAn378nNB/OVt7woigg6T/5fDCAjj3cyEcYqiHMJ18nOKDh5thnpIII5A
Kf3jzIRk/RhFFE8c/qXG/r2C+GdnKtogPIIcJAY4TuQx/iQmSRcstCkV020NH9k5bVh0M+jlKtVN
j8FoeE5gg+trI4+6pc36XbRj791PzgEIWKscfGZzzwQsaUa6e8Ojczuqdt838KIHq4MQSWLwh58x
Aq4l9hx60hPYbh+9OTSI4CO4yNnc672iXTM9Ot69MBh1ELZHQVCCckTARjhG53nx1nOM8iXK3KWu
gmlW7lxYQu7uDW+c6RUaKL88ONSQTASSbXFx83PH0vQK3a+8SYmG2KB67CYi0Ogp5++7IK1284DC
RWemdy1ZEbbTQEgZJtAbDzCfSTqYoudBHpvQ7OOlu8BxNaORaxlc8+uSeaUBhym0PQ52vATjyHKj
+5cBgnQX2EIgNCAcwxs/4ld2NQjKqLsJbbPrIZJNc2SLwWOOsE6EAHmwpw+Gv5W2TT67tZ7LfQ9D
TwYRBvhxMQZHNkwPQpLHFAV5OnWJ8Mx9FWC2hYwi171Ijn3sRv2YGB8aajGVdM4ILaMDCSDbhDMt
fkO9sCfEtkyHSUu5W5W+c/V4SaLurBtx6f3wKjXeHrrcs6eSXbuC20Aj7dfwJlfdN6vDh8qwl//0
Uj96qS1R45+jLTdf8IyVn0tHDDvTu15qg1vo1rCkW+bq9tJ7uCVEE4N8GwzIwdaB/Qq3gJPY7mMI
IGGS+QWk+bWXov/48cQNxHOhRQP98be0n8BOfu6lIDFlmzQi2o4CH/hHuiJFKFeSeP56S5R47uGr
xV7kNNwbfb8LVsQC9ckhgK0kdh4yS9mzah3mtQl+ScWSpzqFaL01J1XXRT+nJfSJVGHIrABNfmha
FhRt6N9zD5lVxlacwbRQe6/QtyigfgGZxRUtZ9AbsfZhp2hofRxhSCzUVE/3Pqa2XTslj1YiQSSd
3S1sQOiHNNl1YkUE5dI+Oec9I2PnA2kh4PLhUc39wZ4Sz8ExkJ4hdd+BUP46rEjlkNpmHHaPrg7v
WOo9h/Ood5CGwRho5M3cIRx1KvWbGyCKFrAQIaGH78JBkSIOl1vQv1/6poYDZCbItmvFN+id1p3x
yzFnS1pw39i8a0WwlzShoCK8yJ3s0no55turYKK3MMbniAy8WqcNw4bUbFYQUwbhfAWtyUfhsxcv
oi3MkIj2AaljYvUsK+i/hnr9AFJpP09BdwlKmMG79g1GHlS96oFN3VbK1HXH1SlQ7lmO05XXzm/+
ECPrxHMUcaIE8UQVhjcP8jwQHvLYj14HIyHkPa4NdyV6zxzqu/Q2dJ3LV9fLfDbw6sBOhHAxtJdt
DZO38p0HSQaECnqBnh8E3FfhADoTQDKmRMs5LkGu0/DEEnKcpuG2bADxE4AKN6If+g7OdxAzBxM3
6MziBjocM+TjGENCIVVGWrhohYYn1i9fJUFv2ixeFk3LrtbLF560QLYnOLCRUQBXtkWvjOFaEO+L
P/A6H2bYwQNA+AFANSdlegMwcy5Sf5z24SQSuLDIsUOE56NA8tIFxBuGZDBIMA3DVbUO01HMC1Jq
kiZC2hvdpUoFB+1VZt9g/V+mKj1QLzoBF3/24/joT+GznU2QczH6OzOGwQXYQH3d6RYoPtTWhYjV
ihSIGpGjyybeibxtWwv8S7eQ8L4KW3qs5HxgSBwDwnhWcoT8og+/pCSJAce46hZPYLLwvUV7l6r9
ZEa7C6Aty2OrX93Y7sO5+tRyDBHMQKQGs1ReN665jaIEZPe/0gJvNeB3rSqcbj7aG8QrQ+wJDiTd
MgTfqyg7smBm8Fhw2ygIv78hEMeq07u6effLh/2vfxon/eMr2JYPCs03KiGUsX/8CtfxZayrJLqV
4+sk71z3pNl/HKO/sOM+5uN/vkfhnpjGP/W32zV9t0nhUTAwYyJP/NeglN83KTxUAJcHzDnSGYEG
4ML8ukmxf6CvxUtQQMUY/Tek/tdNaqPbCVKawRVsiwa73t/gBMIfySq/L0A4FCjyQAA5AI8AiIC8
qT+uDjjQOcRVJVbH2lF3WpMWdOksiClvIdwhSt14EIoiRpg2uTeJRxfxCAae/8veefRGkhzq9q9c
vH0O0pvF3VRleZoqkk23SZBsMjPS20jz6++JHs2oRxoJmLceCBAkdLMdqyojPnM+uw65HOorJGZq
L3mTbYagt8POKfS9zq0u9CerXQ+yejPmhU9nR7xBtpjCwiJo33buKecGt26i9Jw2pFViFLW6ADct
fRIz/rzQGArcLgQuFREqzSSN7UJukhZ2QuL2p6GEokJZ6kkaLjJ/uXPzgo+wKSzlskMXHOkMFTpa
bHUBUPxYudWhUwqryOFbm/TW1wEZnpVol7cgbS+ui1A2AJQBCmeeTb3Prwd7qbbE5EosTljLomu+
rCh+4+nZrwvN2/Tz5ziZTkhKdyM1Cz+3KK8n036qyxh8oD/WextDDsEDBzOraaJZFeCoBXlhbcjp
ZC0i3Zjt8omruB0qecKG2Bm4l0xM7jqr27QEaSHMEEsA1MTHsPXZ08bLRhh4AcrpYl2VM305iuuq
G8uJ1ut57okHf6Cbluf1vqDhMFXpQ44kSz/zUrf6KdGGNYIL6S6nuEi+pUNhk8ifRFvues3wt75b
Hw2neC+7BJSkF13pSDtkLXGUf8g9vlJ+jEmvo9e0zWNz0/0Qh7Sln+tdAbMWZCX3Z07oiOsAuD9M
5PZJ6e4CAT7oEqpRQbwelTYvEOmbH2q90u0LOe37Obmxy8jfaOM0bxtE/lFzAUT78wv85Yd+mS6G
NF4tbAEde0Aon8BVjoGHdSDM6TgqLyFPMCa4rZGBp1/pK8fBoR6YYkEQRNsjNmlXJMMfZuVScK0C
Mhr7t5FyMIBSfdl8CA9Jz5NUuRy98jsW78tIK5tYZf8olSNSKG8kxyTJlFviYJu05L14eIMFUY6K
ViUfcdYsZAnmZeuPkE8pCe9MrXsR2AOVcmZK5dGQcaWiiGvTK//GID82KUfHb7XzjMXT9jolajyf
FPPHiZKYhCx+UBcBX8QgIhG2z5Vj5PbVsXSwnxPyu4NylRI3++qwmWrsJtlFV27O4Sub0xu6E6da
OVMuFlVJ2HjFMUZSlfXoQ+JjpcrRaiaCZL1yuUzsrjLzXyBibIocSjx2mKV8sUWjuK0pDgR01W8o
MfcTiAkdM61RrlqNvbZMzQnCfn2KMN5cyEvUU+411z0kGHMamPNEdz9re7kpMO4wp4b1ory8Wrl6
ZPXvpKx2CG37eBC7Vvl/mXICefe4rx3mIMLVcBf98AsxDgsMRFflLP6+fv0qZfNJ/58fbaS2+89/
v36pw8NPyo2OykLZSrdgkLscXX6/fpmQkZXGzX94Vqnd0n882WCKGSiv3It+ZRy73Mx+e7KpqSxH
yS2OY3nc2ey/8mSzaOr9fLT68WQzKN75/OmQiagC/fHJJuupIz6fWLfdZOvrZZKHcba5eQEXw8Rq
tpVlUgHu5yfKmlbYxfZHa/lXPWDO0FEJ2XRCHOhb0CQjNWbUVZ6EOsX/pR7CqZM3U8sDii2Bal1V
w/sclC+JAOdf5HeZne7oiB4Btt81NYDktKFtHKDUIJuYVyXbBSuKut+6LKjWeVBAlBmjb0uVPjkE
84HVAmJwp+LWia1bY3Q3AWq6lzfEahbrsEioC0Nm+muZTDtKfBvTr79Qj+6GMXaOZRztwHy/+7iH
Qbc8TuhNq8zkUmgRgl+5YIpCtcahT2S/vDp5HI3hNZskCxJZsjeHqlzVHWJzkdCm6IHVrkVt3VA0
PuYZ8YCxbb8amXBX1Cpws7l/q8y39Rg3t6kj6+NU4PEPAmSyV3CxyJKWR60eRzedWynA/7C4xO+W
L99k/kDa3sciVEc8KpKLSZx1lXTtZ4JCc51W+cEJNOKkZj3vkrLzbzuO3xtmHPiuDQlKdYxpn/G2
J+JeKoaE4e6EhFPptqSB7cmLL3psGbulTmNa2fSIi1KBlMaRR09hgWOZ83RvWVO+0YRAf09ULW2h
ZAUrgpdAVZGlJsRnTDP4RLsTXKDqiHSRlW/aojd3fWWxxmClV6hMp6VPQV4Zh36OFwxJ/ytaUiAN
mNQbjfp7OBOV2BiRR/puiPONntKW5+E3I2s1wa5PXYguUzvsAgBMqNstPTNC/HcgFv3dUDvJhuxl
utf1KAoljLNVZ1naJWdFZlUs/E2byeV64uru1o+1nofN6K/mKq43ADRU1jcTR6frxh0kO3YluvMw
6CWoBn8G/Fa/VzlTEiJxqaM0gX2sA9CTMZei1byofyJhlq9j56TfSnoQjHPAnJsVfc7E211xLDBI
yoHGSRSlTvDvjhGjDXt/xJ5IRnukrQHYLlOEO12x7mRcaHu9T7eDkyujBUQxiehVoRh5NGeKlW+n
AIlgV4StYum5iqq3wLdLwey5Y5FtSHso/pqZ39CkIiuRNV99ubz3+NDbvjYGeHt5ey0ITq+tyQ3z
tnEP7jzyFNQ8ufOj0r4zwf/hFfUa9CoFBUx+AAIFqMCRP5W3aHgcCZnJzk+anSbmB0MbDU4ysbvm
SHQsFX1wVBzCAFuEa8LMYxxEOi2WjVDUQs3mCAvGUCqfAxn3ocD48NLyPHrdWtO86855jbBHhsqV
zzDFP0eMk0k5KKXyUnzlqgw//BXltAjlucSZfmXyuyXgkqS0v0gZgmdY8mt9BPknA+9xUQ6OSAmf
9V3xvfMoDtIrOlTYPUhUV5zCKbUpJ6hUnlAmDIoUMnHCaYbsIJV31PLTS+UmeZ0F0kI5TEZT3A5a
fJ9jPelYUJhlfArqtQw97CmBTTVlrgt1HedKdlW8NQYDKdmiWIm7BbIMGLtyvHKsL87FTwMbFiF3
/nMweT7uFB6Z7zj8TOWbDcpBq7HShlTfk0cnRmJH21S5bdzHcSSVA6dNQdhP7WenvDlHipBKmPuC
els4G+KJ16XZf1RYeuXgPOMvOgeB2Ze2yzvlOSpirCrxl863CeoMlYMlzF3vJsEyTJR3aGIiEpCF
JFgZe61xUREajl/4jZoYLypCm5sdGHQsyd6HaIFFaWBVanazi6mG8T1dT7nB/3feEl+IdQfqoRMe
xtfYgxGbD706cg/qOmVnF+o8Gs8CwGTWfEp6kDGc1gGuPOSc3hMXuKM6zg+c64FlrOlS4F5Gnbcq
OPtH1BXRLZBiYHFxN0D3/IwGjuA8x7R51/lm5wOVhyQXu+WdTorl77PRP679SLn/+WwEl+BNfrZv
3Z+cj/jC389HAKQhRzPlQNub/+J88vv5SP8lYNWD3S0DdssPl/23m79PBJ8v0un+Ul3+A1saeVod
ZVADSMAr2+svnY/+PQ3oIyEEPBKw0kwUon9xtsrY50Ei/epW1/N4zxV8l8TcULmwngZPztgvZnc1
DWa1s/QFQvk0nMsUDKtVFu8tkMyw07o9BHZnE1jtvI5H11qldtKseTgvq5Q4NRqwD3WucZeQC11x
buLgKXEWIPatZa0JdZ0ooF3hx+79KuCRqyW7Zq6fIj8mEdf410s7Y/tUmdwPeX+MixRAje0cF1+A
MLS9a2BbYGKxjHrhX4LRy8KyFZdeb99Mx+bm58SPsgA3NNIHR1r15DqTy7Vbek9TRFHOsKznIK+e
3Emegsy4Gr38QXOK657LO9Z08q1sIZhoBt3WaDx5oGLLMiUFpL2YpHGxzre9zmBB19ZXtVc902e4
ASGHxO1MOzmBp+dFAWEVsHw55dyVvH4j3CVZ4QnmodVOLom/Zt74fjlspFRs27S4bVEV6Npa+yoh
Hs+mwc2YQz6Jl9HYOVm/Td2GqQZJZD8zyrVmLmcrcj/Mvn7IhnlLsQfBNy7Pk+0CJCoOgp4c1Mbu
7A7et6SJYrgv87Mr8B8ViSnkFA/OroSRZ0FoQtPxOPIul3Yqva2R5MfJAGKk1s/83vzmJq1BL8yM
oN4Gt6n0zJs88vaTH983N3ZycNnHoFN9cuc0XbObuxWeJHDW0IHql3TTE1+jE+U/Jy6nHSJoJjkk
sQNkXq6yovpA3q/CtCdSajYG8jANJ7WP1c97AagKonf63rbWJ2TCT07k8T5u7BvVDpskKYZZl5B+
59x+tJyMIuzs89iJxLoqm2PhuIfcMahcJtvWjxlXoI27mafJXJuxO+/8H+Dr0hn6zSi1i6jH78GS
je3a0TFYdZYqlsbu8Fubo6015pqJon3gkmmpzAi0FUZPyHLo3lQDGKx/vdETfRB6FcqOCTZl5vLS
5XUUPFUWSKFETWlw9Gs2IognKhcDZjFdKB7ljG+g9pCmdfK7QMK7AP+p4JiHMnCvItkZq0KNeOQx
03uelw8bn9GVraXGPlze6VtNDYDoFM5Os1leIrZBLDUS0rMWQtJeJ5xBxq5GCVsl/UihbmHzwQb+
GmNS0SOhH11MZF+T+hx5zlVSsMlVq5kSl72SvHRfe/ZLuuoibBuEWuuffb+IDpNb3UxRjuTG/Elg
Vt8pfxBFZRilsIt64xFgCbVJy8Ja7aeMTgPtonHiMFm0HfMW6fJqqsGVFnbcoYNuJKpmRhnkZSCL
6G1WbU9zbq4jtd1SMuIyMZ4G1VPjrJo8anH2mQ28ZWD88tpmAqYLoN6rTRhCShatufwBisBXoIZj
4onXnaW2ZCrytDbwBLb2aMnIuCmvNHNyrg1WaDR4xzeTpJVLbz7deMEShZOarRmiCL5vy5RNMspr
2Wa0LtTMTR6I+6Tl1ezYMWNwOfhPO+I7TlcX4sW8XOjPEGZZUFOI2y7rmj0dq2lJLvM7sXdGjFiT
zO7gOUdbOUNFq2gN7KEfcS2jqkK1HTR8cyls65Sz46NH+gM51CrEiDkCuzQ31rJMYtVVbZve1pPR
PmcBYtDG7UAir7shPQ2DxKTusbNMFlAidv5S0b34QZzYf1sBv54JrP8KYT8zAvBnBwL1VT8fCALi
9zZpfsoxijr0+4HA+MUmj6+oKTzjfzQH/imY2PwQEj31ACXT/1SvY7yCyWIncNRemq2yM3/BCrC8
f+WmUN1TOg5/Cp9NVPyiPwomNtCU0opmbnP5SKAFXxM4it9k12mUr+2lu6COPkXI5iZE4R0FqSdN
JJR24cE6VbwLVDtLZNO3tofyYlXI6uh3AfTeIYrXbjEdLHpVy0AiVXup4vgY0ffy41sjDdi4FPTM
qUoFPJEIjmQdXVW0wO+5HaSreXAy6qL+i0dHdeMDDuQW3r8sFX03E+ndcuRZjL21aTAW+XH9tMhp
VrrmtWJDwTjKH0uNj1mgv5+iBoy9mN99rWbsZsiAmZvTfeFPHPsn+2Wctad2wevj04FdJBeZZYHE
587zifP6nWsQ2plKLMgpSkMPg5//0X05ERBFueCHSwQDE+uXG4NYUW8wQ4gNJOIr60PPnp35nNDY
X3X6Wjhjuyc0qa4MBBlHC3WKh7o+0bBLLKsPa2seD21n9cGbIexIQplviz1GLpGgqcz22L8Nq1uA
+Xp7qjd6hMhO62PiduznW32eGR40JU9sV6CAz/HYX5K5QblZ8vYioVChK8iGayvQZlNR5jv1iEga
1JKizFjQaNznamHPaxyycWO3Npc1Bbvvh4SoelABkAgiZ+d643zhtQnYjjtbmI5yneC3HIMc4GSU
2eI6cvQ0HIOhOyax9HZTC52utLkzhw0rVGjIFspwNnyZQeXvWCsd1k0GoxSu4rvs+faZfoDHokQP
o+HjFi5Tted0/MklzeEYAYukrHmptpADcn3o1hQa87NvxdD3+ABcZdosNgFY+Z2do/pksnN2XOo/
i8kIdjAuklUDUuMMEjk+8i/H0TUayze/othnzkLfR8ST+IZpaICIViuLVGIbQkBikqTVyvcaIg/j
ReSiOqcjwuRr7Wn0qvEUj0O7A5UFO1NF4+vezTd88yAVd84XbREiX3PyZWi2tQPjrCWMbxUWJdEa
Uh/h3HdA3kyboIwhjyCdxEWLdFbbkuLFaGj8KUt2liAzv/OeAxmTmvp+XOgbbJLUX/TNZPnTNpBO
m37lJEv2vmGYF1r7Da6B1536aNHbk1WLdQvOnpEmHCwdwj2jVtm2Ano/a/g0+kJdtgrGatMlRElk
96LFzVOumPkkLElwwYzdSEXUT3XY+t6cPtLBxdODuk9BDm9BkfhniJLk20D7LJRyFKrfcSGMVArf
HwzuZwLPf9AhnyjA/wTpf0xB/juw/y0tPeY28Bp39HaWmgfA51MfIsE1/xSHgQWBivepNvC66Av/
gQ7VuWFrACPGQ0ipbjzd/jBZI5C5Romhnc790voHn8WCiuWCDqY1ybCIUxpReyq5yBWoXiIS4MJB
+LErMNmAcUsA5N269ZO7mPQHs1WkUAY1neDoy9sE+mJF9msPGvCYsbLgW+O1RsY5nNUAw6SmGEpe
bApgU67sMhDv7K2Vr27Wp/vYkgIKA62HSSlvyO0OuMiqowRRvAedw2eWPpQb12rObJPdu0rDS5Wa
F5foepNS+DKl9XlK9Zu13t3WSgmMqjG+FEod7Hi7XAb15lmUdtiq37RXemIaiWCnd7W4y5XaiFgA
pkgpkJ3SIjVnCna10icXpVSmPzRLpV6qyhfkGBRNobTNQKmcbut8AaRZwsxeDpxfbnUE0QJh1BlQ
bK1RN3eWUk0tpZ+CtxNbeq9oqkpdtZXOairFNYUfJJQGGyk11lS6rJ/yp02UVmsq1TZX+q2bwE6Y
laarN5GxY2AmvjhK8SVnwq1CqcDQYPGxlDLcKI24LHKOsEo3/tsa+tUaIqXyX+QPJNX27X9gEvV/
ln3ga38/8MAT4MxCA8YwDFygnxUQeAL0HFAz0Ec4DP0hoGcoQ4lTjekBHPg5++D9wkEIACS5vv+P
7MOP5Msfsw8KTqcOV9yOCOr9iwISFN4SsFYtb3MpwGit26aCUjoZ9rHEjOHd7xbf5jTmIjlpV37J
dSJ1CqIIMNoTAv3k01MGmvtT5k/3Up+u5ghYcZ249MBHH1SKWCBQ9Y9jMd94hXVwBH14tpo4VHUc
09lMqAd3PbHSJRauTwUaPGkMaKZeAEXfsr4sP+7X44+IqcjAbwvL3ICw5jTh21vS7j6mPBImrvrL
7NJl73J73qCSFqHe1g+2OwDJHzSTUwXj6vWir+exB5vf0FEso6ecEfXedFm+7LrQEeO7O1DrjJoi
dAzvg3U7OL+ueHah3fDuoQA5+VjLPIlgOj27sb3zvZo362hximu1ldUVvI+lE8rK33cTsejZRm3F
kXmfq+i96KdbvWJCAhHjReiBWBd2tsuy6YB1wBL6xCBMK5Fd/bj+Huvsa0xG+VzzLOc+imLN6s6n
G5nLTZfNb6J2ohNqNlA5x6Q1FbsbrfSNOxPnKrRBknG6ws+uyBXsxjE7GU4jue0gO6H+tv0WNB6t
dU9wT/OqbT5b+jqHULbxEy5dcbAwxWWW3fWs+1OY4efTGRd1GOXavO55Na/aLkswjcCmzbqINqXe
iRMX/nzHM7G/Nx25PDJ0CmVYBzVE+1O/ZgaSebYxy16qlklCpHb3GXmguOtaozkn9G8PPo+nqyaI
uLTOeXUEBdTigth2esV5pFYkrOlqaJcchm9Bkm/yqdrTT9SaQ2nqBBtJhCYqG8rJz5a7yDfdV42j
9ZftIxQUKkZNe2PYgExYz4UJYVSFraWKXXctjCly2NT7+FcfYSnEVx05bV0FtrVmuGlVhDtSYW5P
l7DYVcDbU1FvDp43tgp/N4UOLVHFwcmFg1BjqUhFxUsVGndVfHyxMyOsVKTcU+Hy6kfO3BT33q/B
cyLolQqjY47JxwAQ28ElfLVKVGhd84mvd+TYJxVoh9MVTiri/veH+a8f5lwz//OH+RaXpPwTLIzO
V/32MW4QmXZ1YBdsHngWBJif7q0I2YQ2GDVwdX6Gwu/+JmR7v/D/SakZ1o9w9s+MXYf2Bgq253ik
EdXV9a/cW71/j7Cp50HA1rJncBemRP/He2tWYINOfeTdEOE5xn0jy+t+NGe6z4Wsa3BrYlh2TPp0
wPOKeHqsgCTMYRXQxYW6nrxMVncPL24Ok65k16UfdrwBQpbt8b700uRVm7scgtN3Cz0QookjNrPW
AYkC5UTUgdmjnAvtWNxh7D+NQ2Vklx5n/Z5jGu2oicHCCH8HUl6sC+2GBS+fg4lsMJG1+GVmVeQc
RYlwz0k+e2f6rV2ytol5WSsX2bsKnajQywcXaOE2AgM+bkgDRz0ETGrnj4NNo4xp3/EpM4OEGENW
7UWSpvPe1Ntr6HbHcXDu6FAzw+SVj/qSPww23lyV1B+m0tHdZOCzmapK26fgwq33RFG+Ws2+cQcT
aXx6HBLhgHykxy21UCsgbMdKPrbr2gj9eUTUKj17wwyXGivy14WbIeg595T7WG2Buztr4rsZeA/F
YH/qNhH0ruAfxfH7i2cpNAfy7Z7bL85bXGevswWWLBvFXl+CMWy4Dq6K3H9ocsPcVmVGfN7qaZml
5j5h77GUsg2LURyshGCzU5CegO+m7tdZuTFZIdpk+nwkQXyJzIF6sJXwmWSb+yqbDRTqjBzwPJmH
WRogAQf9u87Ckz90BXRGJ0Ka7XZE7t/ipDq5gXfqLMJ7gAR42C3BPRsvch0AVZsi7bsTLNtcnw6M
St7QSYQpFrVh3VI6K0r1CRvVX31FW9wVLFfRw/sYkwDGylw+85LuSVlJb++qZQ1eXhe04Z6LZHXT
I5UwyxCdwU1enJixXkar7qJaQ4wEWL/Sp5atJa5lKskRJk71PKQmgJu4P/Z8B3sy2pRkxG5ycGRc
vak2S2kfCvL+U+M8GV1/E/TiIe1B3Qq9eyzi5E7R5xB9h50Ru9oBJroFA669m73oAZv5sjQDbxGD
pyEFnpiqoZi5VkXnIVr2cx5pnBK0j7bRklC36ww8DQ7KYgQ5bhIngtjpODXodghsbzlWtXebwkvc
Uowm4T+U1rqQucIzjVe4G98pGx3F4LMi2olrKCccJnTvRD3H2OmBugSQIDV4A4S2kb61ej1u56C/
DVr7WWqJvuatLlfpXLjrZLC+IOAs4Ieru2EB/zJ4JCepD3me4pKWzG71mfxmjku512xenZFaTOhy
8ZnP5gJ73nt2RueeePV0kFVG9KA1D+R2rdDy/atEElNx2f1d6xTet2OT3orYZVI1uytyeRMnvLbH
xGM6PWUqsAjOZlw2WzdnrmOsRytsWsSqpnQfRoOjmd7qX5Fpv+pW/kF0/NCMFhj9uGeuQzM/7U57
7FSZvCiKx2LszY0Z0Aube2Mn3OKlmu2To1WzI1WykGKYZ0/uxUr92iPCqs+ggZt3ayTobzqMcKpl
8sFprl1t6jdLxniJXN5by3xp/MDaB7qCSATeeRlkGfp9gs3RcrnE72TqLJk/GDfuDrrX00bt8aFr
Pd/PejWjt2Upn7XWa02zvC+AQY4g4MgFRGMI5jHlqleXbF3rNxLnZZM51qdckP5Kh+GG1JShZLZs
n2UlpAXNZjsKTCv3YAZRSJN8aJJ3stGxwKpHo3MjJofJ7K6ZQl8zk9Aym7uxZB9g9vHbDECEmYBm
ZPmCuS9rDoXDIt2cJvV14Y2HuYhei3Iil6zZxYYEd7yaAHys6zb9cL2SkZMoXTZOGW1j25r3btk2
h6q2txnmXJh4br71fWQuPg+XXZk2r63vQNLUSAJEu4pFjEuigXp1KhEwIQ3aKgDStZ20kmysM0cX
tzSZNGtgGcXWFQduHMUi9XcdoIaQ4I++juQ8H5Nh+M7eG5uB4AePZs0ko4OSQhoyLtEDy+XbMhZ8
b5Autw7e6UpjO2MVg+tcOb08wJ+kO2z4hFEdEIh5cIyC5aSJpQDACf0iyvD7iog9PO/e1zz3auka
bIkBp3KQ87kekofSXGYeiEa+rS1mDoZEa9ep1X+4DdehAjF5N/k9JDWD+woL47SP8+TcC/NcojKF
WSXkrq6XE6HyKzbqQ4KxZ8kZemOlja4QUkSXvPYmcNIPH3M57yLOmF5AbQlAfphDfqosf95wqpTr
eKFWruvjozFkb1WmnfNW3GcxYBOqD+4mbQ0Gsuz6MyezGxe6ve0tm8S5sPklyTGFY66/1HBzV3IQ
N1EwYHwaugzHpo3WVZSdSp8Eezql8WOTQJYYoxcXcuPK5K0LlveL4NeLYzFkl/Q3teSlbMPWiBwz
2ECEZbevyB+HyhcrABzYVpp2WfRaD7WchTbuLAio2SnnvrW2eaY6muQDzDAglXTkPKIrn8m+HbLu
kUxVEDYZIp9TPhVzezOVJnbyXBR0luw139Bj0xknqj7ftdr/GidEYJcmGZTpfdSln74mt91Q9bsO
gm1X86PMjj3qqQ7e+lSkCIyDhw+YUbpP38FermvWPknIeAeie+pV48frzm2PSzcyjJLx7SnYBEhZ
VpoWXs8iMoGmmPanxZj0Cu7fvUhjfjIf4BIOkGjpkqHrUGTnbbfj5PbKCewgJoqvnHRWVu8eF6cq
1gPkO7fxKZOPT4bFL15PFVfg9JQxCrWziv4DEMpT7EXEtPHkUBjxJctHym00w8p45yQGt0wfRkAm
vrXjSJS6Y4dYq5tzLYIr+q9BaOGXDxrSuAfMgEtfsSP/w+yLmW5cYyxWjHdg47EWvSW0yLTSYvFh
0bL4Ixv+an5J6YBzJ90xwRXTUqeH9uBZyXGc06/EcMQ2Hv3bGS5Rtey6IENc3bVzGRrTla9lDyib
zEPasMRRJndpKhmA9TjIWMu75Y9bd4zffVdc2SYFLC3SE75ZzVtVmXgM5giKtdZle+Lt8xDPE+ZK
7z8aNVuPLtfkjilWaG353iQpKfssjHyrvpRuW8xrvRQuRqrtGNpTIqtKX0/cZ9tjxu2OmUgB41Qi
8kptvrDd8FrqjtBCO6qYt1u8UUBRzo7VqPOnyIBN6xrc0SAmdllpW81LqX5k2rgVdhXaRTaEkaye
ySJR3vfxE+QcG7BiU7j55f1ouzQaLLJqaftkC0rLYHT4m1L/CpzgkHj2G6Xl8ySQPROPnkMi+oJt
DN4hWWYjFozSWFGlm3ic0ArOdB5sHY80vn/qe8fZfAioHATJVdMa9iqv7XDqvRvZi9tg8K6U8LMq
u/TNCGZm9ewrOtecbqr6nWcL+VhGKrPS/9YJYR/7Qf9k86/cLalOMkP6e1sOZ7Ir2C0KbM9VYsW5
ZgzdqPzejsXeomK8Jia6bBvwgHYDeT6Tm7InZuIU1bjnc/cqGK2dNzs87Ehf7gfJOzo1+Q0dFhkz
G4JMxypi2y3uipQqcF9Ou4GRvWYNMKXkNqsRZJCAYeseoAVaq8CXN3APGzqk/W3hpN9J+pILNAjr
zOKmivUbh91vqHQ3tnnrsoSlIY63rRYfpV49QTM/9Il46b3+Wx1U9CqwCWDKTq53P6Fvc+69mRvz
VdS0qTFZtlYRH5bZWw7pkL/yB/yWqOUcj7PgJulrJI9Ce7WLSj4Vi8QDadLTBIeB8WIY8XOxXI+S
wdXGNZ5rqSOTZxcYmW9Z7RMA6npeCcFL7lSQZZOngkmDv9XZX41o87+G066r79UHd3e4Uv18+P6/
/++fX/T7fT4gfQYvBpdXFaodfr2ffWhu5RY3euqQ5k8MGtvgi9ii8H6s7PzgNPwjt8+PQH4l7G/p
AexqZV7/BRv6h+j6B1EWXRh6A5Kxya9l+jQOfm5ENlUDPTxhmKUZUsffN9nIo8fxbg28wpZjjRZp
y4aD/OgS5UTUDELSlXYUzvDCEer0wujvR9eIg6+RxyoOnRW9gbBMdeK6Za6d+Et30dEg72lsYggu
8dnOShbquXYkteRCAf+GMQBnwaHKQZPjUHIQVNnWmdng9dBj6hCxnAeumaBQmmSPswCIOod9zeoh
yzL7Jm4DkPtFxzO7GfP2NsbtbJDNZtaZY1+vMCV9N9SZI9c+HXKtu7+1rB9alvFfMxg09Eiqf+//
/dWvvu63V79pMQvl6tRSeJHR8ef19furn8Uo2ikOOg62xY+oxW8pDPIZCEw0Mi0dR8IwcTl+e/kT
89QNhlr+qYH9hZc/v85PfWAHKoEJWpAiMJQUE8fkX7SsfiBtzFrGeB70I+3rdL6rul9fHbCr48/q
T/rAECn/8JvwtwDkzC07ABJC3IO/7x/fYgYTbWmadfXZGoMU8q3tdFRDEsssrXNC3A3eUOVO2WWp
hOvfqPGWZ4hEZnbxdWdeJ3oxmcjT9bqD3t8ksMFJZbgsMC/C4PK3WOt5zs8RWyl5pbHpEhCjru57
vSallxibpfHuJtHtwXwg3RdMD4jeCB27OcIQv9X87D2fszcNs3Ko6wOB72fSfxzdRHIb993GN/OD
l/CGM6b2i3MsrHcxhjmEJIqfUP61wshXsOf3jeQ8MXhAE/kUsTri0eVz7OoHmO94CkZ9bKbyk3d4
wqahvWJS8jOqyXb5BUZ1pU/UM7p2Sz3wKuq9MQRAR21oZKy69vT3qSuPNM8LhIzyQRpkWUzzWztB
EzJF/5QVc8eO9/jRufZxttty26T1dZlMYxg0gBMcETnrqGrvQWDA97WrfhPP1jUD8eypdtYlH7He
Fzk8a6mFaQAM3zFx132z/0q9hps2LXditdW5rOyTN7b2piZkucqzJt27zDytuCfG6ynFOBa1Sa1Q
Qq+16+XJgOFp8e1cVYN25zCCvCrM/GEsAtJyfvaiNa29MuHgMmqQ3uT9aKxZ8zx2Gox83QC+Z/jx
Vdx/WGm1xbdfi2I01/bUcBrPy6dooUQUNWxbV7FxbP2hDXviHovnfNQCL3acW4LF9offFcB4U/Hl
FxyVYpthnaYPIGK7X7YY12olXjQIQkaH92u2CWdpf13FxVma3buRpiyy2EiAVlYe4B2g/sh+K3y1
82ph69hdT1hF0wPyA8N5CLRvMiYTouU9rcOkVTrlfTz1TVh58bAuI1YobYLxEuLWomhQgZ/em/Qh
IfH8H3tnshw3smXbX3k/gDS0DmAaLaMPBntNYCRFoe8cPb6+FqRSSqKUkmWVvcGzdyc5uHmZHoEA
HMfP2Xttyl+3fYhVqrNwEJ+IoP5gafGk/tONldHHyPa8ID4wXpZzPwrhPljqnT+UN5lpFVtYNCc/
se1FkAcErff9hzZKuHu6Etlmx/Ww7fEpFt6taPE9tFH2ZmqdWLVSvYv9hJoUQWGvTAgev6ZXoXyq
FecJww6jbDRLtqHRge49EPyYVUSuL2sDwU8BJzpZdqYsPaAMtCdHVytvLb9DryFi7nI3ie9i4sE2
1thHZ2F0t2Wpw7wq3nhbbcK4SNDkFh8JtaAFSUNi2dR0TuIOy7UMowfTrHFLIAerxD0skn49BEO0
T3POJopykU3kTmSzpMSSkeJfbhEDKzZAE2KH8nmVEHbN8X3ug2/tc8RZ2MVhvwFmxRNT8GxO0tNj
lduPgWO9hWpfzqgcSjqg2ipNCgxvww5e1LPSN7uuDtH1Nk9+Q8I5e85FZtoSNewl14xNpykXvCsL
ofj3eiyeKni2uabu3I63ve2ciYc5jFW9Gmlmeu7wkcIcJocdLeIK5gOWjHmMStWuZI332FrJoj3a
+F9lCXERreWCjnjHRIAjWYTA3VOU01DL+zR046WnV29VHaz0sn9Qqjer4U5shb0yTLxgcw/DLbG5
XofzOGoGRVmq7WDf237br8tS6vPIR5RsOUVdHGPDeExzE8HrWC7tNiOKKInYt2ZxbhboQjADrkFn
y7mT4NJxDKAmZbWSdffYdck9GKon8niNa7WxxjMvvHIlk/K51LVNII2PveecynE4uonrT24gSiz6
OwsyxZ25EiXhKh1T99Ykg+fgp8FN6PsvdJaVeRc3yU5yKMCuX+OCyegpmnXwlOn8il1wG4Z5tHAN
Zdu01WMDw5WWkpGuPIXhdsHnw2XEu4dAFvaARkkIO6eGOymopm5FRHtuGFAV+RLwDE959eC5VUOL
xSbaK2ucRZnUC1O07VWr1d2aLgRZVGibEIGoJNwnMAGgqtIASELrqmO+fQU7j/CY+lKZyHuEto5a
EyCe4r2G6N9mo9BuQfs9Sq2/8S0pNq7ZPE5qJ4bko3f8bq72i9cuU7Lv3uyfX7pkKqDGFQ4CK0we
P750RdIUFLtlc86BkgrtFDm3gk9tMcCPzIffr/VjFTGtBVkSpgiqC+pyzZ4oj99F/VVV3td6V3Vn
x1t68X05rALl/n+3xPQRvlsC5EOSdE3SnQsezIH48KD9YBY3/4NFYCcRroNPRp+qru8XqQL0AVHW
dWdD3pb5vleOSrv5/RI//yxcqu+WeOcSrunW+ZrZd2fTuUnL1ZgCouhOmf0cDX9YiQnquxvgx5Wm
T/LdFUuC1koFsvszdPiZljGW0LcNOO0WAd12RFH6+y82ffBv56gv9wByYlh4KgIcprc/Llf7UT/K
Wuswnj1qdT+zxa0f7Ib08fMy/7+zDXmEeED/eW5+Tp5f3+TPJ43pr/4+aUwnAx2IqsDRiNeKX+jv
kwbnCfiqHLI5g3/ROH2dmwN0BfZu8tOBIALpyl99Ncg7yJ80ixQoXf+sIP9X6BeOpT/cIZ8N8hZ9
f6IOHB4tk3P7DzckAPbWrE27O9VAiNjF44e8HS72FD3NW+GUamX0Su8xo/oxbg0CGOetoXg3jt19
Yr62YihvzsYp1pocwqU6BV2nNtbmUHov0idTok8wirZNdjHdxGdkl3vrrvUOzhSeHRT2S2OEN6Id
H4IpXlufgrb1wpz3OUGOsV0wtSWMO51iuQ3yudG93LAWQHLsvbJryLWawrwjp4nm3igOoELvTAFm
JYv9j1HlHEySwFWzPwVQx3Ob1yYOq2s9UNUV2ncGg2Z77nVe6ujxxQzoLQKshGoAtdc4lnOD7sMG
3xxwG7ph2hRPDqedQBh6sMtmKIylEXtrMcWZ4wJ3r7zCvCX8ju6nu2gMY9nQiUZXTAg62RubUaNr
T8qYMzlt7i33Y5ojxdQJvyZE3W7rx0ZlAl9EGDlBerezZvCSmWibYGb1wxu9u02r2SvbYJt11eDe
11JGr44yT5yE6ghutE+Ie6TbJ/ivxwng7+fyPlesl6YZdhjo1ko8LjgQz5kabMi/u9anlHjfEheH
K+SFjL2UXJI8mByl6V5EqL7E/Yj/RHU12Cmkz7t2d5fq5lNELL1ekE9ft5m5KhqNxCzC6zXeZpiP
srkYVTJj8E2T+7YbCbwvCL4vGmXny9hlopq8mUrwoW+V28Jo9n3QX2pCvVShPDZK9JqQGTCzrAGB
WuHbszHJnaUOeccehhu1oQ9Umu6Bn2nfRTZj02jhmZ+Yq1B08XW6Zlzhw6sWuhne5AFHocjJZ6rP
ESSi8Syz/IMB1NdIq2GeDf2z2dBC5iZHYDBh6Ns632tt8tHjjnSlwbkC5yPKjy3E+6tc1B8ZRTIH
Coxbq/LXfhgqRM2UZ01FU6fFbb+AbMFgRRmihRI0uO8JDACHEt9HNRdpzBTmKgEIIjPVLzWB8G6R
Mi1Npbus6qzADNH5R/ALABueQD3gxjOe0ppBEuGUVwHBdbOxNu+wRk3Mf+luvJhCMrerfm22XjhT
m85EnadFy2GS5xN4/ImMltrdM1OG/eMFXjQsycQsx7uWceRkm2bqRL2EQv+GUxBHZcU37kMzmkLj
mxvYiRwZOGz0HGYWbtdCu4kwPGTummzGagEriMTXTibbED/4MiXtiPem8ZS3VrQcRx63JOCWzroa
llyPagLdzhxn1YLY2v7GQaQ8xfCc+mD8qPNyImPFWYRhuVKhBTRxSpcAkcsyE06wmCJJOUcde9Oc
0XWej6rzEFoZqkMGarQKV6KuN6HD6RxVT9Ln5yRsVgy0wFMo1S4vKoiBbb01g8w/JthTYlPccHW1
NYLrYxXJc182d27sXkkD06jvdS8c2+/znOpbtTnQeyUAOKgEZTmOTGzCeyugX5CPKMYJxDp2XsuM
AQHLPA6SvdohNaLpNAfNyrygtp4KBTWIXipLacSfyEW+KyL7vijDQyLNF1r/DC5Tm2a9uxUNKAyz
DLD8lR1y8dpX5qqnvZDMenH0bM+Px3ggGjtgsvZd2pIFMCZGDbjOCZalg11wVMwFcxUakzEH3JqH
aeDRw7l6rAId2jOkQtD2l6hhF9C1rarZO3SV+9jiBEs7rJ4lDN6A66XED4RpMmtshwknFnmqyPpN
CUakk25JVlPj4mogZzXzXGXZAjm60jOi/HzvWRnSfRCPd8rAsAx0BuP6MroZkLtiqe2uigr9EJ3/
eGH75Ss2TgjWUi3meZrdcYjfBUXxGo6grHxdTW/7jACvTL+zJ/GOh1NlltgeXHwMno7nsG10Gzst
vIUnGo67vB2K+tXVO1TvacK9VqVNZ80S1VfkVqqTcwenc7YkZ6taVR65kx/0tKr/L4XQ/b9Ge54O
Fb+riA5vGZOH8FdiwukP/y6K9L+cydnu6KYJVnmi9vxdFJl/UdrQ8wQQNFnSKZC/tl8/V1IqjIov
U4nJy/5dUWR968r+m9ar+LEgomRWrclgj19XYKxDufhjQWSTAuOkuq+cNAUyWh1qc9Uc37wOtgmP
CD4yQ11ZWrSSg58mDOoLeXER8V3r9kSAI/Mlsy++j3qVId4Abr3SJGb20B5eLcWpkdp56UyfAici
YPGzSndG8l85bVama66Re0hyQju0FHWIqaZQ3BW0oMesiNVXvyTcotT7YpVPgRcd9CZcqy2hbzn/
X8OmNwcSSH4ANgSya4rNGDlubLvM3kYRjcsO3y/ofjxKpG00OpK/XlfJmiaIA+wnPuwJ6UlGx+AT
1pHa1jJwzfboTEEeqYz8JYMfg7n2EMyGKfBDxj09UgczLU/y0vH1kW2SgJDR6BZs59U5QgswA4GU
PLWONdxo2kOI7YPcjfjIVh8s4ENdk09FbJiuIbOOaLt2IdVL8VqFjMUdQLikRdczZwozsadYE3qw
4Tb7HHUyhZ7EQ6UuK2tKQiEsu5s5UzxKW2D65mdRTrRDh5mFlh5tmzGvGe+WNJtmcZv31+MUupJV
wDd6cljyKZDFnaJZvM8pLUROhytFIQGU3kJGwy6a8lzklOwyfg556XvTWVSfo1+iIBipyBBn36AM
LdbtZwA9N3a2IU63XacVoSyeUJxDaHbUdrXrHWJaHk520MrGu9aa4In4cUbfmXj2ZWrNuirRaVG6
T7FW+0uvLj6pLsx+gIX7xAtoAUfDKVHjnO5y+ikYrUVp+PVpSM1hntomwDvpkHpGCTw5ijeyLe2t
boGUxdZ0w8SLnylN12bAP1zpzLXeolAxh053gfEVHR+g1huqCdl2unkgN17ZDlSNWm4kxtn6PCXg
JeszMuh5neuELy/IFaz3IIzURcONdsJmLVaytMqdMPN8oeQ5jviOFGJnbNZGkHyYGLC1Cs92IDJo
CxXCINLO11YW/k60selKSd2PcPLIk0iv86a58xTjUBW8AZDTFEfEpMNGFzKa+fl4pViwdFO4t7dq
5JFq7LzVSr8LE3uHv24/BLm7tCOgEv2wFMzp+c4nZ8j2FplvGLp3lhbuUyyo87CxvEPmFNUCEBHJ
yoF/Q+ywz3Aj2ciovYpLfiQnsLdFN3FggBjN9Nh59huUS7UIT32b0yzO4IordZvO8SvONZFs3Npi
vi6fU+kgwOFElDufBLaKpk5X5LuuaIgBEwI5y8vuUsChDYpoY7cmfUrS3jRwN0FtYf/rkzsnUU+6
2dzRLGb6CDdMnDzQI9i/x09FqV2ssdnYdMgMAsFFDfdIDXqUgPE8atvnQBhrIdtlRZAlggLnXMXZ
xcn1jy61FceeCS05XEwFXUVaFgfI9SslNucFv3EaNUgRNJIkU5IFETPBe0pfx2G4JTwxpfCNNrIJ
zmPen1KGDARcTbmwV8C/QCuwfGKp1wjs0BUMc0Rkm8xrFqT+4XpX1nRfr2yBULOgVq/6lWKpE0ww
fBXOpJcurhTiG+LAXg5FfsowUWK0oCSvCdLCj3bWYYGGrX/Vq84izZU95ztizMPnstFnQ9zPSdD+
pJv63JO4zFy0dHXyJpO33GsuaES4I1Xqb1r7HRrc0l5UOBXQqiPgkHPTQz5BQ6jCT2diabH8/mL2
7m0SjfoC1QgZO526Tk05dyFKziaGDwO3leOSvFyGR3a4Feknc4JvF8KBbelXwcbQhis6Mo+qVqN+
cm6EKB4B1198jqVN+jEbirdSpSGI/2hmG+EqFAVFCrI735xA+TTNg2uy2w95a1x0L8U4imxYqgA3
UCmq6pXitldOpazUILmJkFXUlnYn+aQ2PVTUhsXSU9pdpTYrHsVj5TorFFdb7N4sWC5RXvfzPqsg
D3h4FE39FR37I/8pE3Uz8LLKhAgVBeXCJod5yLrnKqsAWCo7BOqbERxqPiBHBolAo5GXRFBQNKMQ
Reos7LVeoxBpsg81oIOhsDe2Tfc4gHKZ1/IqIy4Sz3POxN1da1H72En1IZfRJVe0tWf2yLJITNXc
pQ/oy64t7k57jWfrOsuTXTHCh1KamyS0r5zeO3lTuoyZbjmNHIKcIO6soZOdIGL01A0PGNMX5zqS
7p5Iq6dCJCRrA+hGKXHnSXFdyeqUVdaFaBB15mjVTQMJtC0g4smxIZU02SeWvwVbrUK89Q9y2qjG
HHhXvdOlhcKRERSo8oijQNVNRU+284rsThbDFkv4TtGR9CDy8l58nKA3VUXu86jXVKZIpKFxoOHi
xRN9xM10F9WpvdGZcXDwrp/Qcc10M15EIC6Adn0UKZSwunyMZbChajux34ZLVcZrrat2BMbzXKLa
46CkPQVWVaxcI75NQefOyh7LlaGdo9iJyOICHJ5j36JdfeXFYt7pSkpadY46h+MA59G5NuhT5g2p
PxBlfLGOvH7bZ8PHQgEsh6yqlhYjJcClqUfgK0CYZdP4SxkokGmoEOK6mXNa9xdgO69axfnYtvA5
QnWNDXzFeGcJ1Jv9p4oI5u3HVY/PlkPPTtbWbW5xRpU1yQ1MemuiPFFeKdtMZ4SlJjynWBS0fJMo
9WFUuqdKFq+NI5d+hGHJS/oDce9ynkLn+eIS+sfZ+U+NdSpETm/ChrYA28l6h0jgwCtlE2bKSU2v
wiie5fFFCeI/dG5/akl/XkTALDeIOqP99GMZijhVpbWmKafeeZHdumue+pzsr0VKytp3FfovZhK/
KnjpNv690ruWdO7lg0Y0snLSGfObE8KOg/e4ycV91HwIQSX/frlfXj2eJotIhKnx+O6L6U4O7DjJ
/XOrfKibXem/Zsnr75f41TeiWqZYZhnjJ+inJ8jJc4ciODOLjro1QSzLBGlZ6q9D+Ld6/Yehzi++
EWHZHFoMbgmasu9ODC1Cc31Q6/AcAgEIDTQ+/rqI//CdpmnND518QrW/X+T9NIfwE0t4LBJJkJxw
cmBG/P6q/elrTP/+u9FEW491K1GUnWVxEBOvOr/17PAPi9AJ/+3XePfrF/EQF21ahedeIfDKmrvh
mVAoNrgnuqSiOukAIf7910L0TfiihdQHDu2PXysOnTTMIEWe7fK6VH1Yzxvb+/Tv18AdJ0xhcB/g
Tv5xDQ8xuAAxHZ0hZi8JhbGzfN4ld79f5FeXDl4LAwFDQ5vnvlskxz1ihyEDe1k8ZWKPRofNNmCO
fBM1OxPRbedd/37F6Z56f899v+K7HwvEpysLbYjOak+0dfXAeOMPm4E2fehvS0xSJ4vJpIY2nk4A
z+u7zafKTYizvZaeoz0RJhtengfSSZfWdXCx5ihXVkyiV7//Vj8u+fmAz8b97Tq+WzIACt/XRRud
W1FxTCbxErqMnl/9fpVfXzuTSzINeoX17tcSI8ObOlWjs1e6c13bTSniv19huvrfLt2X72Fq090G
KtC239/YRaWjtCLE8mxz9IV0RrX5IYRS4kfRH77Lr67Y9yu92+AwIxDtZovorFlvgXNteTfl+Ift
7ddLWIIAH2DRIKV/fIJCmueOOfrxOctOFtLLHt+w3og/vOp+9Qhxs/29yrufPpZtAJqXVcL4NcEl
YdCQNVdW3Mzj+qzE68T6w2/009fSVdNGZUfW8iTne09T0l3PLlI7T85A70r5AYxzOV5+fxv8dKO9
W4Je2vfbdoZoCRF6mZzxrRH45+Nrsv5w2X69hOHw1FDw0Gf7cYmo71Ml4aR1rpJXZdzQ/v7DAj/d
ynwHxwT5TUmDkdiaXujfvXrYOu1Oy8b0TJ2XNtY8iDZT5zxz3z5fq//MqTV+9X+eU2/S4k2Gz8nP
k+rp7742ZTWEr0JHk6JZKAkNk7vga1NWE39pqtBsRCufqaP81ddJNUJag/uChi1/+IXh8bUpq/8l
2Jwc9OKoWTkp/yuHN45xboJv+x3zccMywYFgd9TFJI+d7tLvbhKblKOsV8rh0BsFwEMtJlTlUNhw
zD+p45hZSAJrtUaFZoSqPTKti+OOrOY+QmkjoHZ5Or4NB4rnldRae4Dwrb/SxQIV5XrPUotvYi9O
z6QboQIfhb4yLI12rqlWh1yIT0HBFCROAU1o2cSuaRoCJyoIkjVUIiCFmrUf8U5slCypkaXiWxzm
vcDFHUU+w09iXFA9uXu8tPHOFWG2qIpuWEmL81ddEtCUpAxAUlfDHYyT/Wi2wza2wr2T194uDZN4
FSsuLg8XsTwaUEG/IbaGVe/awcKokYuVaBHnGiPzRdmj3CqdJluopvKUoDIqRJ9t7aC51USgIsrD
s4M3qJj77qAcZSRe0cQz2mJAvga18WmMog80Whm8m62WbjqPBJDCjIY7fG8eE9fg4BP4sWmC6K32
R/0JeSaeYJoAq1YkdAdoXwINnzAfZA66u1ZhLCg6VdmaRa/uLdhP6zDQod/LRuylbV87sCxv0Cxu
umC4VQqgqbkJqUt18mtbYGB0PZKuHNWEuJKjNh5je7KWMR3rh1jZa0EzQadkYD21hY/5WjViyFaD
Vq9hjA9Tz1ZKIU8Bv10L/j48DBra0pnia6SXk3mhdi7dOoWYDHp2ONBJFLU2RT3ot4reJOEG4Ne4
lW3mnsJ2KEqmfg4mKZeL4J1c/FL4lUBQtZob73Ws45qfjjdQTwjM/s/u9VnRP2nP/3n3um2AfKQZ
W/17P8v0d3/vXu5fYBaoJXm5Ww67xLfdS1f/Emj8ydbSTRJiprnR193LmXYvw0FW9sUGwJ7zdfey
/xIc8u1JFsYgYgoW/BdjpS/13rfda6rWTFUVhtCmSpft691rWoPBlip5mp5GK9ii2ePZAlzXx0BR
MpTULWGEcHeSg1nwrHOovVJxuIc4vIJG2ZDqx/hdv840PP+Gtu2q4jluzCcaLnjX6kM/anvfNa/G
AD9MjPV7Htj+UzUk163nxUuRps8okwR2MoS0HiLE+ah1yS4d4MgkMfhGJ60zwLQBjNDc2WdGenYC
ZK5uTsrQaCtz6cYv2HBXhqedgz4/FRIkT+FGj53G/CnPxMmxygY1TmwTSs8UpxH5R5HnyB36gBl8
YCMUb2NtYw2ka9T2xvDSW2Po3wZzPDD5ekm86rYbWtC/qIRy0ewEytZZ3oqTldvbBKI+ZnPrzmAo
M+b1hy4Qq6qVLQ0gSEid65zJ4CBOKj9FXXyMumhVKJo3b6wuhEiTKDNNKg8uIRU8vIQqWNE+kDiU
xwItsRvXG/p6VB6IX1eAmxg/RO6HHqOp1TZ7s4HBUJTXuFxXaQz1w9ZOtuWuGqO/ECQNhSKCB0J8
oaFBHEqUR1j1D8JUV5CXwDK1nXVlJOlLODR3hQIsIKXjzUw8Og4tl66MCWLsvR5mh0jvS5OEgoop
Id7bHAGADThAdVZe59Fds6DDDk3LUIJeHDUYzeEqWdRldt/wMTyECfM4VBAPdVj4Q3yb0mHYoA67
suV3iCJ0Q5EKSCEfHHU2DMYldPJd13kfzRLacCjErZmLi0JpMAcht3eRJ8EFsIN5UOC2DmVwUSxv
Y0W1ubdycBZ9Gd2SovDqqCGDsvQ6DeKPRADe+66KEVlHvO/zpa4KTwOwoXg4fPPen0MfRQY9qT1s
bw75OV4VYbMYXcS9Y7xWTeYsOpS4rGFco1fNGySwYmGKiYlgF485wElXK5J9YHG1pwRdVE5oIbIe
eY1RkQmtTEbdkSyDmdDc4jAO8q4cefkXDaAsNUKpFSoajDuUK7SjCYmQ+U7N+2SvpWSWONVjKOw9
hcgla3MyyUMXDIg2jiBAItq/TBlX7sBYk9yYD0VW3jgtP7wFKWawxqPaeCiHFG1htNbFLRzCWDyo
Jtg7NM/b2DFgdYubfgZQdNWPTjKXGlENuh8ji+44xEWlbOfKODz7xgj6sGIemXBFZ8T3bmu4K2os
ltpg4+VI0vAE65l+lp4uB/qP0Qx5Gslp/viswMaqW4SefXsbJ9qi6Z1zrOsQO/zRpL+L5tkIlfvB
wflRJ/ZyEnQEQyu2SG9ojmtAJhoLK2emkP3tpcOWoekyLwoS3/AtLXTFfNP76pCoyqFXa87oTNOW
6jA+52N4NRS1Nc/FZD+2MYzgdbNngyRvWC+7G2ALOeozMBWe7nMqNgSfp0UI2DXcgfzvn/QECsZg
TcAsjMIYrpVLiSW3SrklTJGG29y27wpZHiuUtDOwQm8IUE42RmT6x2Km6ARMkpairwQT+kAd5d7T
1DXyJX5trvgONiyY8Yy7qamzJzNN8lWusAf7oYNCv8X5kgz+lYdhmXiu4bkUIfBatkYzpqQyGtJG
A/MALetUTWIgxj3OYgiNmy5KCT8183NZqetImrfFyF6ZazeaDymcekHO1Nx+ZvK2JZN4q/PlFl3I
3Anh951Cr2DuReHEcYVwLi1uavIqn1oxPsm6vEDwAHPOcZWxPgwvNjjG4s1N4eB7l/C0GkPJF45B
YkWHSX5ChL6QysZWgaAmcE9sdGu/ZEynm9Xt4HX3sV4/yNIhxzluHkyXlD1N77QFKlbCU6uoXYQO
jTnqJqRlfjnMErwUsopuMgaIY9HkCy/Wnrq4B2SRRCsLuR7VE6hYoyA5T+r3rbjuqu3oPXbhzgyM
a5AYM0Jw7yMlvQuxAQiNAlBkORLCHMdHolVXaiTeNDb6pda75zbExlOS6MlkdyCZXYzhEnMDmdCm
CbCp21dFcmld/cruE7bfEDrloN2ADdkFOcPt0G8e7Ikfr5b1tqyPrRhwgjXhzLf9szkYIYY0N1zr
KAfnlgwfiCZcJ4mM9pnC9j8q8uAOtrJqERitqKwxCMA2nFUFDFogTMuu8LfWJLuskKUh4c59t0Rg
ZeiEDeVvwJSCQ5cB2JtmGpb9EOVpt5Z1iDmjLrFaaAFsggBzNBUrXCDfIQ4gZAjG/rX16tE9aYYk
jGFUSPaoanPT2sExkYHjPDfmMKzHCVfPUWRC4Ypo5RI/kMK01wsKVhj3AtZ9zEGboQk6KEWaiPlo
QCyHCY4PNeYqgJZvmpV/lQXqmzEQFTL4L7xywCsHPZNQZZFC3Ndjla/OZ6wMLV/EffLah0CXyKVa
62qkz2oPoUvmi8egT1tyV4FGdSXqM63KqZ7Rx7UKKXq22Plc7OKlVrea6V1iUgIUAiGOobRPRtF7
TNxTbR4n6h2Xn7c4KQNFH20JfWMqXvbXsmLY5ExcQsPOVlmvxnNGdcUiTIopkKZ7zMh/QWB8YwG2
Eol1l7rleSCHfSbGeAN1YCXD5NzynEBF71daXdzaufnK5nqu3S6bJwG3QAgaAi/kig0OjqgJbc/V
qmM25S4QWHOViVpHbpeebFcycveCBmB/PCxlj6aRfX9KooSRIkW1TKd8B2A3hCjl+vNYAetIum5t
hxGbM7EQFLmPkpiI3k5spG7KUiNAAtneE6+WFVqLC57LHU/ula1jgiqJnijGisjAMDl0Gq9awilC
r94xO3lAzfHYTekVFjEWFRLifMq16EIXtICC7NIl9ALAXjZHw7QZySU05aH3/VWBdXHRkJMRTIEZ
QhF3TdEexh6IVBa+JMRqlDHGycoY9ihDm6thyt7IenFINQdZb8pGSDwHoAixKAnsiHN93xHg0UxJ
Hv6U6SFG8RB1aUoehToufBw9M6WT+gLi8YgK3CUkzNQJi045HZMwZi6dUV5VU46IVKMXu6OGcfrm
bBeVgTgFcrjvVtU+LYkWKYkkSaIpLIiQkhjK1NpNu4iaE2cmxqXEGc1bUStbAZJ2LYJ841JtoVSA
lANYoeXM/aVp9Z9mkqb/7ji2yYZfoAKnv/n7KGb9JUx81QTuOe9QgVAEwdurOkeu/073+/soZtN9
Iv/WFjYnMhdfxLejmEVELjZlNi6dcQHt239zFCNc510jiTMgmAI+A+kjhsHm8WMjCQFSoTF8ro9p
LIJVnifhos9TLKjXg96O0FlCN8BNsDQZFQQZrHDI5xaKE8LWDR3dw9zknZ/sSicsB84bjoWw3EFk
Kq2Z1ouSOCkrCYy1ZmMK5ZxnJiEhl4oXtfpC8dw8+zBK0Zhnu2lcmS1sQrTMXW9ZiMN4XsuoerZH
4ldGREVktkBt6WWLeoNYM7mOqsIl7lsNNn4vOT10nXlX5szqHJLtyiYnU9CMIxzJZdfuaNsPzPXD
7Gjzqr+QK9q9qBn19KaNAv+lNWW/Sio13YciznHA5t4xUkjEbpUogENHQYwgzxiuNVv3NpCEukOc
2d0RfUa9kLDs8g5KIYwaXT6TcVXNk9rUm3kACGkTcEy41bsS5E2QWa/OmLjrNkg6jMOkkVEorhOQ
5xcQ5QmMcmB/SaP2JigqBHJWXUOQE+pwlKqMVnETVSuz0AoCdatU63Btk008tvVVyR7D1lqAsEV1
r38wxmI8B+MYUeLpjf4CZNraNWXlb4Y4qh4NMmIX+MsAUhX4HUcnbU5NE79ySbNNSW/hRkOWkMwj
VcU4wmZKfZcHx4EI3YU/WOHRCqtq7bqJXEaj6xzHEoNhCowefCC5w4HhD68Ujsne6rzqvknzZlW5
UQa0NNQPCAqAyougileDy2lO60txjY9YWdGKqs5GaBQL4DP5jlEmCp0q3oKBGpcU6c6qtIb+U2cG
yZVTpP62z0OTzxbZyiH0hLpNwyohfnIAhlfXdNTKwcnWhU/7wGQ/RaQnOW2NjCK2iVTEPW7oh1wN
9L2uOMWJj++h80rNQ5XrcLKkVE/DGPQoXLpo44egj3KljnDpFsMlkE5Hnk1XLoew6Zd+O3qrqqwq
/z+Nri8Almmr+edG181z9n+2OdK0MPu51zX96dcNloYWvXY68kJ3/htR8bVTr2sQVwUHD6Cr9MIm
g+m3XhfYCqTNBsMoApenDtS3XpdJ6vyX/xjRH/8yQoRW2w+NesLKgcoL/G5T5hkd8h/3V2QZBAiZ
gzwN6E+pRvRGg7KYZU5EOFSQnUJTHMKAwlZYcs1Ga12XA76g0VcvhmdeYtm85Sp91r4PNigXd4Gt
rVqMQhxi50o7bpNMA8StLZDiknZtgpYujL2acFYwmvSomzRMfHtfBcoqH5RrEQV39pA9WD1YOq98
c4iwkJrDQS/bxJxmAugvPJjAlZzgXg4EIpnqNVmMxwZKVOuqR0qrmvjxfi+QaltSo87y7yxQC9Cm
o2Uiuxf43gePxIRaGh+Aca3but5mnoA6R/fbLI9eEBxdKlCX87ePub1BvGjk5UH2+oNtAq3XtKM7
DDMlpn+lRUdUb0uKpUVZ4TJX2yc3rM5B0Bz8bpgD1ua5bpZGIo5SB/zvfqqkq0/nQvbeptmyNT17
jCRCYT7AGtsolbtoreoS+CNM/IjUavahQt4M1VAxHQlPvgVmEbiFFok7C373OFSX1KlfMr0/Ql0+
Bl75X+ydx3bkxtalX6VXz6EFbwY9SQDpM+lNcYJFloH3Hk/fX1C/6rKoumRr9VSaSSVWJjMRESfO
2fvbx8EU/Zl+nzfzlh2VpIHqBwyws6Go/hI4Oy3Ur62IzgSBKtvOIstLzzgueovO21wf6iB91kqd
ngiG15jc6qy3iJPsjqGae0s47Bo0fK0lXSfOtFPk4F7P5ztmHb5ZxMoKeCnWE+w2USDXrpXXp9jO
BDeNO0I294EHoeTZGpxmU9XTxq6MnpCn6kFVCdGAMvvC1dAJV00TyrXfYi3HyNLaTbJNnCLada95
SfprdlKim4W2QQQTrx2amN4wtTtAmvKmrPuMzlJ1nRKUugevNrhtjRtL4W58mowFWCX0t1U2xSVK
8FD10CAm16qiblIVnbTRhdukUFrONwdtaawsLjDFxSXimp5cZdV+Z8sJmJJR3wIfM7zWnG9ifa69
zommVaCZKZQCdHBlBZGAFIo7m1GXn5q9yMJUr+jAVN6S/BgJB18Rl8vcIvhacsMHFHGxqMZab9Jz
3aajl47AMbLge7zoJ3IVHqSRnzs1fYfyf4abUlc0JzWT+NK8vFLL/B6TAay0AVJXYJjwVyKhQKz0
lzBEty835ExWLY1fWrhc62gaWVPyzZEY4A86bp1hQC2aqvb3sHKeilm9YwL8nfdPQkoptxBiNDLw
KnT+xDtUnlEAJaxSpOcDdssqazzIgRdDlO/tfLzXp/lHb8n7xLH3ehnFEDS5i4XRPT0wH+Rifaa5
Ua+BxxLZ0kvmqcyCG+jOCCKctPVVwY/vdZpfTJofxwTZfFtDTiyFPVBw5y1BoE9A0QdStkkEm95Z
BuKFGGNlYOuZKb4QLvEyCZ59I8j2i2WCf0MYbHEyh4J+r9bq2q4Ir6g1dRMAyO8EKZ9tiqYX+aMg
SJDCxo9zqPGXS/rXWHD2TdQnTt+9SKBSWhUS/xTIHmllD5RFgztT+S1qL7u6wPcLjr/ecUddmuo2
GvEnygnitklw/6cgeNREEkBQBRbPl7aGHYlVjLkBTB6SA8qSZYm1pOXtgcKVVQIKRdJAb8DUTWPY
LCKEIF5M3tuwr4gnmHJSS2ZkrzbBBWMkn6NuuC9ked+JZINMcnAMYHVcUbsd00i+GYlBMIrolh4l
vhICEgp08ytbB29rEp4Axpfwtjm9ayIdd2IOjjazYOvcRFFarJuRgFxXKkUXsyYvT0LctNM7Rq3Z
oK8K2ZY28oJ7C+9JDM4vL9dTr+4JAriqBGPLIlDxKi6H2P136PY6dFMRYfz3WuT8XD3/vQgRP/Oz
CCHe3VR0A30LIy1kb28Gbkz+mcPZ4BpkoYj8pQgBOMfVi/KEkbdp8VN/FSE2ofC6w58w4Jdf7fD/
YOBGofG+CkFBriExZXjn0DB5lRO8kQs0dZvrxqAuF1XFJFtRO8LCHWb7lTHfKUm9CSL7q44x1mM0
8ELn/ik2J+JkJv3QGkEmwKt3zlAzK5pPxkI3z8CvoQbYkeQQYGmcrefAvsRKqLix0qvEJcibdHJO
o2Ycy7zc2KGzhcN9kci0+G0aUm4Tinwic7wxDa4GnaZ8l8ziwJHA9W3Qw5NlAkKX2P9Wdm34s0of
vpYwGGjxTjZGy61U+96qtMtWzS4MkN2rvikGVOxDdp+a8yaYUo3WuXOVJeFNOKbQJkV32sBWFWbE
rs+dTmJmmJyWpa+ei47XgRC9oeEpNpbQlUxlm0t0/sJJaYi5GCO/c2K5w8JR7XuZIC21Qk/RQxLw
UgJe48yg/5i9hH3sdag6V5wSm75ukGmXerKZFksERXC/HtNtUxQ+GSkO+2DkNXqm7NS5PGgybG8F
sG9QzEzghQM0SK3jmJal64zmTa3E5Jdy1LkSwxi28Ua/sDNzV4y9zBzPoQHXGtnOtpyzmRLyXRSE
bHfBUxvat4mEpSCWtK0+B98ZzeI3RWmPTAVDKJ5o9H5grWGykrAatEzhcvl2ttlrrcnYEUU6eXpY
XStKtsXoZbkRJHKgw23tElEXIIAayH2RU0agibOOi7b3l4g+dB2QMWSE6VfmOngSamXAtLWo105N
vbkYqR8ZoHAlWYk8qVNkmn5YwylE1RxHWFBQHUsGJ4lMJx8C2q4CWDQJI//ARJmJmpWQNs+gctu0
YQmCYbSlPYqOb3CPK98OUme/VFHsKlmza+rwtpUZBssdjWmp6ty8M/026g1/gM1FpHYJ5LgR6IEf
JQZb6ErjQZ6Gx6qdLdqnZAqoNUNBzYHmG1SklNgycpfl2BfTMYeo7DZ2crV09sCxEm660TgVi82S
kO4BhnFajQJFgEmQiJgLEsg3bP1rI+ZmjuWOGiltN4mlHjMTC6TsdHBFg4tBTu+cieM2Z8wYqrWx
IQYzdxOF6NgmKdt1HBWMsdMTCcV0fcPIp89zKjJn2xkDeltL+kZm110pzbUbSiHhT6r8TYur+yG1
PSkk4K7BlPo8NIYvKdIXsBe4qjr7pE2cs8psplfAsZ5Qhh5axfpmLe1hNqrzoui0sRfcxKVxMUHl
PRVNvslkUgUqOtwaHWgCN0kIVqPrIeT4TeP5SbVuU8nXZ/tQxdSSxJ+TIx83blFJt/HAgLJLsys8
oZKrlg3mcNzYZh+4TCAuIwPPoUnynzYGXh4nviSZWxDMJV33BKdYg7mhSamgI+cEbACnWHrB0MHt
QRI3KtaPwZrCTZovT44JE62jM2GCviMBjgM7CUE21Md+XHZOFb/gCpRXgUKCQz46qypObrrMeHEa
irZ+okgrauueSDHayHnAIi6pRbWo8/OavXDlLNm0aQt1zv+U0//bVxVW4v9+4h6+N7+59ouf+evE
VZCk4NNAxG4xxJaFAO7ntV9G/aJzGpOlgshEHKt/Xftpnr6SJBXZBgeFfvM/J65OX5XkFhmcq4kE
G9DrPzhxrb9d+x2gVvhhUJ8hE6UF8e7ar1QhO9vSna3WanHZxk2IXVLNPIzJzsYa7GfyJcd1LXLn
GLolurTPW7sXaZ+xmnyJVaIBLqKg7OsdloCKld8no+xXktFblxV8vvGyGKtzpaXxLSxv7KqRhn8y
aRdCSbMoedIygxZuMeO+kAO6tSEQL+6aeMRicCBLtO5ee1W1QcDdTg+kPNF8pbOy9ksemQkctylb
VLDgWm8SmLdWiylW9nk+LuVNuKA0Ay0ZJDD2ypBIRy2UvdiCPz4Nnek15ZjAVyGLcxR5dENqKv44
1cuGkX1zvwxRr2xTZzYXX2v7GbWA6pCZmPWAyZEwCphtoVcSOQoVFJt+bqPSq9QSRIUpXK6Q/AGV
F3O7Uaoo7W5SLYMYYiIVuphUM1I3tcW/z2FbPi6jyEqt6jBF6jBFpbUjNEWT/X+L4teiWGFNfbBE
MfC0f6+KxQ/9XKPOH0BgDdYi/bS/rVFNMdCAMRthhoHU7K8lasKB4h+LKQe9O7EOfxbFYvTBqrUQ
tRkW8rZ/NPqwftW/A3ty0OoS4QRZwTQJcRJL+E1NrASaqNQs4xwtktbcERaU5WDJ51zxokiiGWEn
uApOrZ1qpK6ZU72Rx+xKljTXIYkEuUEMlsDtLDkAjm6bLSHbZbN4szVoQjTSsqBauMrEPILhL7Ny
Sa/KPH3AVE5mLsSfUe2AVmrn2SxqTy8wLFIlMpmvoxeSVgl5FUlLVMQQBmTOeEKYwLSmbq6mszcS
0BQpwSPdeiKbSjkhjSJ7jXJKycN2c9IFsIQ2QKEJFbcm0y37uStOujSb2xkQUKzHgSjgR3I+C1J5
i6F6UckdD7moup2ZB65SFet2gj5a5sm2TqQtgphuNTXFi6w1CRMLTLCLjoghlL6qp6qYTyXdkElD
MEXOLdioLLhVavsqL2XfmYdNslwpnXk34pwx7dDXyQ1xTv8uxD8X4oe30+Nz237/3Wn55n6qCMA5
niwC3jF4QyJ6c1oqf2jiP3MzQEn+9rR8xZgDZOP+iU9E/qVJ7vxBV93kb4TbyHpV7X9yWjK1fH8/
NUjDhPum4H2QdS6+v65F+ruTxBobL2aebFRYQ4BOoLfIKMAZHBGeEBy6JQ01f6YHnt4rvSLJHod8
3O2qJRax8Fwqj3/2M5NJ7eChj1VRoqMo4Kd8FWG5qMqrJlj8LmwgYTAx3E6vTHTnlY8+ty1sY6Qp
cNODeVkctBqvQHVmlRxItQnRo4LyIdDrSwkecWX13A194CjN4pNvnivk/77OrVJl08upTerFEOrG
XaZI6DMtcCMc6hVxGabebStpwPuuzT19SpFKHGJBl/0wTIAtao4D30okGKMTJMs4INXYCUdFwio+
D76UMescRP6xg1tsJefI3Vjqxgt97QhSG4nJ3Wt4slGTSGkQqGyOkk6Atf0jKbiSdXmY+1bFn1US
Yk1p6Mk7EOnMUVi13MBx0YUxXBSU+yGCQPKcZYtkZ1URIc+5yHtuZElmg8MQoMykQduNHhEQTJCB
IrKiTZEaXYn8aF0kSWPed2hDF99TazE2UDNCnO6DvmnLDof2axp1aJGzZvTZZSrDJYZBhYWD9Oq8
rkcQLAiDQ1v7HrVkXLOj8ViI6N481ImLK0NrBSnthT5BuDWXrHcVkZgdNc0PawyCTSXStK08GVpv
FBnbWadaG2ST7R4jc4J6L0pOvGdocSKfW/SDY5HYjXuSq6tI8XZEnvcokr1bARErx5yIHpH7PfbE
jxdLw9u0tcdMpIOHIie8aXRuESP4uFKkiHOBwgFbkiwON62+AoWMTl/kjls0iFdItWrayCKXnIFj
tgbdT1Y5wBAuhlPlT4rVw21qaz8Q6eZcZZGCBUm+/XfbfN02RSzjf69fbsqizH/T1hM/9VcBo6p/
UKDoBmWC8T+9u5+XDI0kX9Typkrp8Dom/FnB2H/AtNVB21qKrhn0BP9Twdh/MItU+btERxCV+T+q
YBhL/rJtvurooTLpSDcsmzai+q6ESQtQsykhRheqRn7K2kBA5Gqa2X9tkt4f9HRie+CyKgVcWxPF
uQ86VncgrrQUWC9dnt1Y4rLLPcqDn8SDyz24l+Rdy704FRfkRlyVQSDDE+P+DCjhaRQ36lbcrVmf
O2K5XG2JLzRUCjmXcDrQqMu5lffifj7M5MZarb0tuLovo+RZXOW70WRAz+WeiQ2i53i8VrWOqR73
fyMtGDaiSC5pDUiiRxCIbkFN2yAMTARPjxn9hFE0FhIjuW5Fq4HWJjdy4wDaIEOKUGxm0ZaQK/0i
Eo0KmY7FQudiKPqD3QbfKmc8xKr5RBhmegWoHdx6EZxG0f4IVenLSD+kFY2RBrnIaqRXsrTNfUzv
hE2KDkml1WRbZncT/RV0wfwidFzS1D7NogWj8DsE9GTipXpuRZNmCNDIj6JxE4kWTkEvJxBNncbO
72a6PG0/PkHALVcp/Z/Jrjfda0Moz4sVSr21Ta+oDoyLVDSPDLpIvWgnzYtzn5ho7ukzjQMKNNF4
aulAFaIVNdCTsulNjaJJhVT+MY6A1gyigVWDXqxFSytNu0eDHtdo1uipRdeL7heIshBOXXh2CDz0
CjpkY9t3LlKfbRvA8Wnpoql002TRViNJztmPZl/5XLm+FaF1Ewbzpk/Hyc/LfD+XqrJCivt90qvD
YhZrk/Ea/21blMxX9MG2/VKN21WUdLjEk+zoTPmteSQnFJuFxRiINrkXaUHkWX37AyLlliTdjTnU
EUGFTbjmfzwpfe1XJW4nOQXiN0jtjTKgCTLSL/qsbJywB/pvG4fXaMCuLHWvKPKrPonmNcO/td4t
mUu4kT+LQS3OZdtNl+YEDb4lJz3ofHigGzUsDykaoMwRSYlOc6Wn4z6JusSNGgQ5Dp+9LgoT4irB
0gM166GMPhD9p3nRK/TMFPwztQIVxu1fcNHkyqmvCYYHlqZM5O+BT0spD2gkBz/ScPoeGLjKozJz
C0HqsIrpvjWbly7t61VVYgALnQ10jStE/zvbzgkhNR2vmiw30SykyplM3IvRnRUt0/nlKr+2mDlr
U7ItuwlmTqCPyJStBQQSgZ4VPMCOQbxmzs+TqWKVm55gCNJInO/4oiPuP2RVxNKxqKNNlGK8cfAR
iN5vknl4GLZJPq9TG8zDBNcT7wp82u5BqRtiN7nVq+RYDDk0JS1OjlZcpwRKoh6dLM5Tc5VXOV/I
fcdVYp56vAbQXvKeJnUAWa6wvDlvYco7jzmxHKu2iY6DUDahMiIsMDeZ+aXF1qnls9Y5X9sRe1xH
kuNEtluqk3BWzScdWu3YoHnMVbk5qOPIdysCI/tt3zZf+2a4SCaoZYl+K8chDby5OWKlM1e6AQ4x
pS0r21gfKV6Et/LG6IPvNQ4TLCz5rnNCmwH9sFVCayIN2tjqeITQX6HOYByXxAauxHhwI70/jVZx
mCRmjXmauXpof8m0nrmHve2ZhDSzvHGs/jI2hwdZrXYC7gPOyvLTJGP/mwoJCW15rfVO58ZLc6HL
5IWEyVYMNqt4OAfmAgSc9HS1E2muezSzxOsQCDZROC8Lwn+z8TVJ2ZVlO3htWSzswtraMbqDXCxr
u9DJQ5ilVV3JwnOEllntnzT0BO6IZmanoBFXxFA7DK+UxT46NhjaZZHitbmMe9lMXcpGUruqMPFJ
wxPCB4NLajRdapm0ToEMQT75oaGBLvKKMX7nt42NxiuuC3r6QNq66rKz7Lsp7iM3N1AqTLnh+CTZ
Zo8pHCYvrIYfSdsfokm+z/piB7ruGDktNOAmJrVU9dS4+WGEs9/3SnWOpolUkeUuVYDvGdwS2IH9
tjCuGomE+VB2vkhm8zDV02HMI/RzfW6RAW+7nRIdVAbK0WRcgPg56Eju3ECfd8AK6NErQT3rWxMV
2v2QSWPqKVKhrKUFrpE92X4m44k0xPRjzMkKL6NvOvIcD/cWNiaMUM6yXChNrvmUC0jnVGU9NQj1
Ag2Gbwdk2unSE9cOtst5AgJdxg9lol6WIHEJYRpXQwlwNmq/4vLzOtnZW9J80ZrTblHZvxpLERSm
4m6apXuSAm8JGE/FlccjAYaEvnm8oPm2uPpi3yxQCr2sT/qrpiNx2MisZKsXMomSwE0Jk1O0ITq8
qacu//Tz/a+izy9LXKrt//nfYiD6q/aJJg2tT7DXxGEJ5sivt7q2hgIwOxo6/pt89Wish8vaBZ/o
Os+31xiJ97Ffut02PlJie9G2XEd7A23IKdr8W+D+WeDSVf6gwGVu+fy/Vs/Ny3PzuzqXH/6rzqU9
wNejC5+7w73+vV/UUmWHHh18UkWnBP2rU2f8oWBMd2jUiUE1bIf/1LkY4U063zYdNuDswj7/D5rp
dPx+fYwc0clHkEeBy1BSe1flapEijR1Ex3MEpLA9T9OXNx/Lb55TXYRfvXsF3LDU5RoIJofSV9TZ
b1qBfdDqXWBM/blfDB+p1I+50s9ZkFwjF/3RQctryDXzcl2rxerfMfXdNnXi9xY6XIwDEB1JNSws
0LytfJv00RqF6DcpUwRO5YikZGIUm8ImjrILZVCMlDl1VxOGAw5zxLQzsDupmmtENSeqhm+nXY2y
sWPdB8iYZPSy9OSZWceWp+tx9q1WhSeM8FlfB5nKfTyUHpOM7CUn1b/20ZSvO/ZuVDJRfVBEeEeo
2BdWZUl+ZjePTkMfRVEBw1e6Pl4m06isNLXs1gohWPjTisPQxE/oC48ACBAT5/NxDEkkz4pyy1R5
Qe5c3wZGtqHwP9lRqNF0KJ4keUTxrU8/8lQCn0+p0ObQoXvMZmHV3VgJ0YtytdNq5ymVpW1R9fuO
cCnX6OerKbX3yTJh11oajz7DnrrlOVAGsM7sUqEjAcCOn7sWWCw2CY5oe4tJ/kICzGYUbB2B+gXw
5t7pLSTIxlEvagOW/HDKNBjvbL1NVW9NKHk46Smd46XbLml22QQlpcUSHbqYAFzOUACcyV6X9Nsu
U2h4LJBUtUW/iTUARlE7RX5vx7uZKB/0xtAvg8TcEM0E+ZB89153/FFm/Ckza2W7HNYoqPbQDV2w
sQ86yNUxMs5mS/JOt1yksX4d5fjT+iDfWPpwisZmV84jQvaEeFI0YLkzbrNhPDIyujGVMl91SfZA
Yum9ElgPZtCvy8bc2xjrpKl5oqNEb6qjNtTaLyW/PHPIaSPNy7cUSyMcQrcJDE9Lp2M1Jvaqr0NK
3rngL7U59HXYnaFpPbEK1kmcfAkDAm+ntkvWUt/z2NQ/5jLZ2viadK166hv5iyTJN60l0keDBF2g
48pG9rKkwRWY8mUVzeGRgQvsPRiKK12ybqMFsQOpyW4Yh1jR8vzFUXJaTzSC8LxYxskW6WFxbGLT
qoj/NMybxNEf+6oN15KKT5lbLqsnGW9kJTlIPfm0aj1yia0n+KKKcT3ZuEP7mSAeps4pabBa6ztZ
hSmSPjf3GPMcdqrpxxjvZLrPnlMHgOQchH4E1lolEjsT4UbeDAG981liTpbEQ3yemhgFeWXKlLvY
lzUqHbeRUkR/WRl5ekSYQ8Z12e8WfE5FF6TXJf0Ccjx7+VCZgo86U1PVzaFDM1fpVbvDyUtmmIb2
RVHrdktGSeKHcX+kE0mMa1oVG4UuWTAtjr9M4g6lZ5VfdnVJnynOLqxMJpEhk9orYK3weYPqq7HM
902gPVtpvWV/OyWRwgGrYA2fM+kYILkUwkxAv6YxuV1W5jelgbJipVhB9tBDPR0HzJKqal7o0CHZ
WVzylD38Kr1XVsXBqi02RIU3bY1XRU+IWsV9iT1qHxKolWm1j03TrZbumCXSJjKik5zJDymaUK2X
96MTZJtiSp/0JDBWbdy5o81FXgF3uwr02HqpRkR8pEtAQtbrMb9NlXxcE4i00SwMx9pCgnxkLyma
vbg5LXZ61tSK2WF7pVCNE0YJdhfjMrBIw2PL26lK0PuhZja7bB7uTKm6hVHickfsM4qxPvLnkbhx
9px+P8pm+VToxKZNsfQDKQ6ioL4h8wrrlNfgXLsA8YvTak4p9LGIDBswmvOGrT96CGpeARrGbYEe
CRcFdVk/N8kesdG5YGLtZpZm78BPRyu9tG6NuqR3oCe4vnKyG7xZDwI4S/WtGcy3dmEsj0tQEK3Z
0zEw+lBZWeO07nA7MLolfZe8g9LN+MFVMxj9IzY+DNP2HJNeHo8Rp1LUEcxb8BWP1Vqz84bLU/nF
HCq0QQhDLcrjFhflbO3Ter6To8QfYnDIYJ7v+ky9tfvaOUzzNOxKKWm8MshwozFsXlWy/IX7peZp
k14/9maleFVJKE8a8aBjQUWfFWiP6uR0N4FqTGu7lxzG1PL853z1/5UwCTCHCoPQbzT8jOyQsP16
OMNnZm4RJsW5I1zcmJadYY5XY9OuP64CxMzxTRFg/8/r0OwzmLqx7N8XAZ214G6JinOeZafWVO/Y
lS5twMhslw1ZfVhbmznbDiDHMzvdtmp0jGhTk0NwYKc6GkinEie9iqDpmrXsa1HvcnHDGhp8L3sT
rSZLgEr8bMoh5drPuu43Bcxv3zmjUvqNusG8BsHD2/LFyPsy7py0OI+koIQz6GcaTuXx4xd5F47D
5yNajSD9RLOTmMzXeeqbIqntUxIh0344VyGQDMnUd5i66bAFZKwxlSFzRBoepSorryDlebMj70ab
4IFyRskWaEBxkhwW7tJf9ZHm3BScSn1JeLOMx1Iv8cIbDCBXRhmeYyneTwGNolFl3Zg5ROuZ8I1r
Q8me0y5D0xXGm2UE3tEqph8ReeinnfZVatS1UDO47EpMZHUH4EOtbZKIQGiOIuHqNXf1on6Pdet5
wqbWgyhfYUA9zYs1rCxrlrayMiYnOapyqAlkzYQKgu/IIVpFicP7oFfy23o0OD+UEGR2BbrVrLqt
qYz+UHLEKbTp5sRK/UpWLxB1Ft60IKOkHXMMZDzL694A9tHLX2wJP7k1Kts50ekINJFfVMXCZb9Z
aQy2Fp3SY2KZEQmBKWOS8m3TgSLPlWnfy8NzGqvR1zkzNrKJZtrKopNaLhg+2noda0SYENh7nZtm
dnZ6ZaWYy3SorfbPYet/XZWI8d+vF54HFiSj+lePCyPAX546eHFlwZ8hcVHUZ81pEYFXQ3Y2JSwR
7KdPYWukaJMjVzEnD0ueyAXKTnwqxKhEqbVVw/aEInA1LurJKO1HskaidZsb9brvZWZAhtoziYIG
RTQ7XalSz7cqh7o3AizyUJhTj7ARyXlZkKVS34Q5DmIlwnW9jGjLOzwzRVWvzXz52pTmswNwzR2U
0nKbXL0z1ZnamS6VRtCqWaJlbECDIwg3HxPbhPKkfoObKrIp2QacbGsW023g0McaGrcuNVSrM09I
xaVdvTGG4ZQm0Q0OuOvccjbm3D3aZLWvqBtlHwsktWA9MEBivGSLGZ2WQK8IVE4OU3qWeCbcytG+
KJr0qESIbOtu0fwIePawADCRphL8fbOR5WTnYEBTS1wS0eDpKbJw2x4PFqE/gGfwRBI712fdrYYu
yLEnRkrzszbKX2uteS4s0ydECBNK4WHhvEC9drQKcz3SF40wZbtxYUF9jq/SSkp3s734ZQshPkN1
V1HQlGbIvYTFOEjO1Vh3P+jWB5j20Tb2ZJ90hEZC9/LUkH6xYh5NDMugX/mWwD/5JAdidKZCTfvo
CIjGh4nzUJYA1KX40oj0VRiVazWVDjmneDSGW1shJKFq18wfC2cH50BRODWzYFx3HO8oDiuCEusE
ZIO0wXF6WGgRWg6AjVEJAU0jocQloKwTdKY4yi8DW9mCyj6EY32ErU3V22XSRVaN1XbOrL0ejodK
ZVoBcoHvpiLjYpTJWa3Gk9RyS8hMuqu5X/ZW4QbjpWn4Voom1T7T3zTndYlLxRoeKlnCGCCfTIPo
1CnQj0k0Eu0YBMGhVwfLbckdgxceFJtxIJSFumFbzl3rzaa1bQaqEIsWLWRyou+CRvnkaPtkpWrv
xGhq5MyJU6U9yuAQdOkJ/Lw7DTlzyou0OSncWD4+Krj4/3qS/rozaO9OUjWKCm4X7Axl+R316DBB
qDgW4SOOno9fyPhVw/PnmURenK5aJKQzqHvXYRpbFJyJPEwoU2cGy/HUunGgijyqcheVEs/cNByq
CoVASbDcya5tY2UmJUFVCfN27Pd8M4r0Q5ftq6nQ7BWtu3spLi9K2brJKN+49bhdq95MYTsxEwEw
0cVPBemUEr7p67BPB0jgUbfJjf5gMI2isPBnBc0yJd6GOYD14KjOTbUA6NaMfa8Ry6SphyWcd0bl
XIwpaG+ObUtKD6lasJggBES2O1XKQ141fpwFO8LWsDWRvdwZ+fMiz4abjeGXenKaBzUUc4pWCz/5
VH/tt/z9QxVtvTcHfWrqBYl19nS2p6doeZntT5Dhn/397w4OWcqokcN0Psf2DZrxVa3dffJY/Ob5
e/NUmO+ev9zMUzlVw/lsqJexjjCj8+Vodj9+kV+bm399SujRKEmBrJnvHr3JakdgNPwWjuqq3ddu
zKlJ7uLJ+uTbEHmJb1aT0KnhyrdIAKL5RWn6Sg1+83XMSVwAK6rUM2XMVw417zZbBx4hU6vYfVgV
q4ed6Q7Hl2tQKveT/5z58wsrut1qu49/4ddp8htq22sB+PbAf1eIOyAb8YqzjXTrwZNd2Z9u+k1+
Fa0d33GzZq1s+JzXiovQfhX5DKYGXz8XXz9+F4bo9r1/F2++XENsPm8+DuYUma0i+j4/TjvVt1bd
2rm0Vhctjkhv82C4RyI7Ns45Wk/b4sbY3gYestQt+95q2RDl03q0zjzHk479tti0F0QzTKvQuy9X
/ZnZ6sbYOTtIYNvmLl/ffPzWhXTxw7f+7gOU1BZaC3EtZ5QkK7Isvlfr6lbxwC56gRd5sV+s8325
ufx69Pud4XJhT/b44fbJOXQ5fHwzXX0L3PuP35X6a/Pzrwf55x76Soh484GSTzw0lsm7inaoiN1l
m2+C20JeYV1h3rcKVo2LcmZjn+ut+kQjzf/49cU6+fv3+Z919G63YauR5raap7O8lL41joeFSKQB
9/8nh5LYVT56nXe7jk0e3jAs2Xympl4N41d52o7my6z5tcz4tlp//Fv9/qv++Vu9v0xKOZu/USf9
OUI7NQfXVXj1//cC7+582oT5x8y5QKXGQU3oAzqW9/ErfPLFvErc3zwXUl7ZhTWz0EoSyOHBVerj
QjjSxy/y2ef0bhdtlQzIlpV050l8K8y0nCn5ZKP+7Pd494D15dL2WCTn8zhMEI4AnZAykl9+/Ht8
8nRZ73YlMwilmeYcpwFiW90BlJJ1F5rWu9bcErugngfY6h+/5G9/L+OVfcB0jfHhrxshgGoNvU7X
n/X8h0CDaBFNvs3Hr/Hbr+fNa7xbNBnEIamO9OlsJDr9+6s8/6Sr8NkLvNsSlzSftKSsh7PMpk0z
GjX/Jx/TO6r+X/vbz6VoigPlzXMcxQx9goznmLvBCjfUHqriiSuCu4dT4ocXIGo+GXwKiOqHe434
rd+8JFkzGrqZiDPqkcZwwa4KJXiFGvVZOS67YXW5AHzi6Db83GVOeyWtrjtfnOqXX+pLbc+tHcOW
P3erbeFGm8/e3m8PchDUP0uX909O3IyyErDolAtxkEurdpPpu0JxV+lG9x6K1R4m5uGH/MLlrLmb
D7ihP9m9hCH2w0/o3feOXAdMuzNTS3iDh2ieHDaAeYfMu8a/eNQ2vfdFXQergo7tGpTB5vPkg8/e
wnuLjjT1ko6HpjtLh3I1gSJdJd+MteJZh/77tK38/GhtpI30I/yiudMmvQi95PvHq+v14vXBmWS9
e07SQcv1tuDRbNZoF1agOEVVt0vd22E37XZ4/1fLGXvZg7wuvXxdbaxLop693o924yp6yj7ZKV8v
Zn97P/9Z7sa7i6ItOcyGCraU2tc35oY4qGm9rJfj/2XvPJrrtrY0+le63hwu5AMMetAXuPle5iBy
gqJICjln/Ppeh3qSLTmV557YrqIpUiRwwt7fXis+aqtXPGab1HP21Y6i3mnyxP0ajCm/om6bbm5j
Xx4S/ns4+Hf8TeOd+17i9V9o1H/lOV+85O//+59T2f7P/xXhe/be/sGEDZ/6vXHPFBwVa0Zeqf5+
bcF/C6hCFwOujFkI4wHpfskk+9a4NxGOIlFySKDCHkOZ8WvjXv8YkCPyb+k09i1c6/+gcf/jDkWB
k3E6lQAI1xeX+QJVfvw3y2DikP0cCze56PP1YgnKfluzfvzND+bq68P5Q8jE+XEp+fpVmJKnucUZ
1jF+vhDUQZwx62YlF10JHtAvHbUA/NHMjhcYerpOIOF65axrJxHC7eurKPGyJTgOmZ7cEGa8zmJn
q1tRDL1P7X1VUyxPc0Cc0L7nkhPyqun5vh+iczy4O/zeJ3UZr9tZP9dLeZwwPDLbd1ATkq/5EIZg
hWt3I2T0PeipEsa6+6ZN0UhyjuJ80pHJzbL+S0ylekX6nSN9E/Suuwr4fFKl7mpG82wfRmXhGD5O
qCGVlnakSzFi6hcmGtKuAO6vmw8BDZOtyCzjWc8VCvKGStVNTSNK4n1dZQjoavz1kFv92UnVmT56
FSR7mo8diH6DPgTQm2krerJLE/hOMCRGZTgPi17bfkYjcNso4Ii2WjlOS+1VGsGRGoh03s0BZABL
uXRqXTnz55PtAvWSsqAeS6XYOiVAV7K9DQMKDDw2womBPpvpoQfz5Vzx9VrjmYSgaI8MvkO5DsEv
l6KxpqtIQ3RRh7N7dBtbHAZCnE+Su/AI+ZMEZTbDku+K3tw7wN0aupYyFOswLWJ76ti69yWcl5XN
9OBaoYTs69WEPZBUqleHlFwG3Rooifdi3fEzPxXB0r60UUjzC1bLPGFKdet4r+i4tpk4ZRKLBvzN
MvSHRJ2ztVtq7g3oM+aVkyiGJuMyzl/lIOlS0x9K9o06fiSTOZz41Q2+XcfLuukY4YJjwoAKOJyD
vdCCFB2MVUqQmle4gdRQDzq9obrd2sawG02yj9Gkt9c0LDSmH/JzXGTnoWm5GjbxtVlaeyfquS/a
2Y5YVuqHhnrVuuMt7c/hPhwm50tJc7VNUt8eJ/tLCU/aIkuZBrV2pyr9JrQ7euplunaVnPQmPauJ
jCZ9jLe27d65jb3PyfzAwJffGMOBXO6GBWQlzGVrTup5dgbfcLsdA7SnpYn8sBk+q1Z/rnNlk40a
sxE0yfr5tSAwG5avAdx2f7QzgwmTkG/CGp4sG7bmYptru01bQM4jYtZxOem5TnxQP9tVDwA5far4
9bUdRBxaDOtgsBGCkplUl6cpaNdhHuirWq1XRkCSQWsLdZ9YWuJrc+RbQlzxd7yhx0v7JV5Cn1pW
65mDGp8jk8wiaZHrLivaM3XsY6hPPMwwmLMahC9QVp6yfD66vEQwiknvNP7kOCcHphZE20dSf15q
idteD6+LujrBJiRa7Z7yfriO3PiQwaDSoRczyTOt9DmldBchD+sbIA5ho16kSvqM9fS5SvND3KbH
MiP40mvXC8jhTC/8ks6jZSawvOv5uAjBnBADLMQIXmsaJr2Ld74hYUrSERLNeHBK/KH1UhSHzinf
8jkQlA8LHI4hGGlrMtJt7VZbumTKzTIr9d9ccalQ/nCI+1h5CWZZDuwM+CX8+8f1PZq1vJ3tLL4o
61RfD5k7r8Uwp34Od+jU5aiPxRBswjLKmehZ3rWqbq/rOlXvHHjfq3KabnpQwxDf/dQVj+rUbevI
/lKkCRLdijp6mATqyp45/Cw80xk83zKwWo8My0JcAIKkcLrdUJafG7H0Xpy0DzpilPWgdYYHkaJc
ZQRNa68Fo1XB4u+ovmtJs9XN4SrTy22bi7c5y297kRz6IIX3nB3qXj+JqiRCr7uQHObSb+d4p09A
oFtwOnagEFOE6BHy0/Fbtb0x517zqsg+qJHLe80k9CnotG6VNNM9IRITWBrhbX3WL80YrldtS6hR
nJ6HarmI2mSfjtbWQmtJerveBwXot95p0PM5RF+I3Fhhdcowza5EoV/GGdTXPkfVpDcrvsuFfa3d
lElzSWD4xhSAvYZiyHy7ADlsSJxB01zRERw43Lrgjprk3pxNTCRTDDsCJfDAwzTxgDrNsknT+i2t
1a1W0Wk0tSfS3X5u2J6NSmFkHTLa8q10xUmtVfJqrvIW0FlcVXq9sntAlWmWa3ulkmtZd4qF/UlX
s42qwihylPRpznXNS9o5hSMaXhqLpfkfVGGzSpydjlL3oTRA2hINbs4ZU1b7vz4k/HjL/HhQgbDS
qWToxuBG+NOFJ1maEW5oHl8ExHyM5NDQWvzrryDvKz+cnA0qtIwDUbnmYuVIUsFvjzqGjXPHccPw
IrPRIduXcR/v4uqmGZENwB8HrLxxk/Vff02CJH/zVX+6P/RV2lUmGoizOlPr1HXaz/wHu+InJg9x
JTMw7HWORWDM2A99kXrD1IG+KOi2q3pcekWzfCoVcYo7U/XaPGLSYdQ+O5EpfGxt9zYoDJ9C/VFk
5pMNde6gZUwX8TQV5bpfRLF2KoVIZDU4nijmed9PwvhcFkm3MZlDBOYdv2Y8q5TY7MhnBZ79Dk6S
x7jnLcmmZct6eN+Hg77PQ+Mqmru3hGQlm9Jd2zQbu6WDplvJzlAjZZ2onFCysWDAZ4EAVuc2MZ0R
F7SIpxs9KpD4ELlH/g0Ix0Vk0Q6Eekb07lW8b0xlN4/m3bQkj6aaHqyuBFuWcliLAwPGaRcXPMTW
Pl0SJgVqv5gD3QcfRj8nSFll1ccBx/cqTnLyjtO2aOj3BwtPMNi5LiRrwdxnmSC5r5bE8ZssOFcE
l0JQglpJ/NoJp9sI8uJqYqyp76ADGQbN20V0W4UhjJXWly92CAFRza9rUA8gSrtVqx1w+mIatIyd
KMisVZp2X8zRDj/G5A9Nf0EuzQQ/Z+2ZOXx3arS9gUxwWeY2rMyTGP/udijhGH/5jMuD+G+O86PJ
EUNfeNrAw1+FF8oGluHDuCWQs7NPDluP96qPK+ugnYvn8W9KKh9pgt+/YDKZY+Mcgqzx4xeH9eAU
0NyVM2i8VXHSvWoDWE87Ko9io67V+0vFOz0Oa8bFhhf+kV3MJ3V1iDfBhZwB+Zvv5seNjwWEt90g
koyL1uYa9fM9eVbH3NS0JLqI1KuKilWsPjbD7q/f7h/XrN9/jZ+aWEuT90oUZRGb63vY7Nz5b0ow
f/h3wPwIaIEZb8avf/yB5pO9KGqMm7tUrmrmuxqLM+fXFerf67tGxe/Pr+/nl7f3P4rcy8/6fnOX
kXvGMlFJEqGHgfGbiXz1F5wq3N25sUFgtvnQt5u7+AWQm+vwG5MCQng1v97c7V8EFAvH4ROIsZPL
/yc3d/OjR/rr+0bXEfQrXUfqBGyfqiO/id++7MSy5lbvtPAyQAEk5pzYRIuLLJsbZq6yxyplNmnq
XH+J54MAz7wt8pCtuydCpb2bylB7o4u70BhRyonsOOGVWy1uci7giBOiV67leg350ok5cWcPICbT
VRC77tqMq1cNBQpbBdVBWGyDNjzZGXr3JF1bOvsXnMtn2818hcvDA1u5uis4vYX5GHgisAafb7sk
Q8STHSuMdmv6U5+RxapjpvZbw2QWnPDaZuqCL8PYvgPKAYkPaXrtlAnWuSa+LdPoegoL2u3jAwAt
pr7sELaXxY0uhdBmIX/yezviJ4DRnUh6+dmxklfiwBe5pdqkiPgr9k2brttKu1IyQ3qczmW1HJMy
hoTRWCo3Zv3KSpDJFgb2nziTydhu8jJOF1vbrBhobMfXoE0IuWroOtLIYTycuTo/U5O7YZivIHyQ
VlG7mr9SBicud2/bnLhOrl23xdhskszMfcVdjlHmHqJuOlZlpHqCnjXClGEfagTiwpIsL3noclX2
lrJR4tbxXUQx921aMl5HUHjdk8D3CPAbB0hHODbS6Q10AenfIdI8tVBDv80TZ2uAX1tXoXGya21f
m061AUUbXM9KUa6iunM3c8hu6ma5K1M/tlf0RXRd2sq2bCixxoJDbP08A/zZtqEhSQ0Rl9MQ4TKm
nY2AFQKiCGKCXQSbLqyXtRCFWHEufoUJSwldcG+DoZ6vs4LNccqD50yMeztE3hyTWvT5Q2cf+Dv5
dmh2DOqt40Dr1lJWfdD1Wto4GDXVh8lPJosHsocKo7amsWtI0nthv7wSezegu/YczxUTsXtayBnn
UuA81ylgz85Z5EweOpP93lRDuW5c7aIYGbs2Oh5l7nSTHw5wEquQupSm2LdFZDwPIiV5xR1q1Toi
23XtlHltON4qc9DuA259SNcLSKQAZtKwcHy1H3iMXcGsIcC+2szMnZJbT26if+a2sxUY5tf61J6V
nORLqDg1+iuUalH9eXbNmV8+aW6/aF37GkNRZx60hZoaB3SLG+vUzPnKGN+zOXqcGF4lkeUQOyaK
t5qBF85GZ1yJMX8ai4oWusN4GUqWnuPG/DBx3+ZmNBJ8iklBjW7qE++aPaYoH52yx9eegcKJS/yT
TYz+KQrtI6OK9ap2IlKZVnG3lMFlY1enfnJbvy+LL3FX3+pGtC905zg4ZEe75LgsGFe4OEcKIfOk
wF42A1wwM8pBeWPeqKU9+Bp/7oapzaNjUPXhMrgvRajTOOcbd8Mdk6JH4BVf7E5sGFWXS5O5LqXW
CVDeiy4PebVUPtVTN67iDw0UPihnCqegR53WdY8FHFpgq1FlLl6kNOWtQdjwgavsSGVCZ97BVlGx
7RiitJ7DtLQOHYKe8CoLs9DZd7ViPgehrQfnxIrTbY5tze/d4FGjMrG2Jp1HIwizdcDzsjNLwkWg
eRnG5LlbWxWXfjl80Zs94ysAOigT7vCtyBxere7gcBco6oJrh4HDqWBye2H+xlPC/CojbHPfQ1Bf
51XM8pRm+roPky9hI64bWy13ymht5ritdhmob09U4oYaD/WE4aG2ymXDW7x1AshdLpHYWl2uXDM+
9ilRpKpSX5hjHpDejcgf8hsNb43XdUG7qzMFE1obXM6pqntzl6Y4JpOJOPSopfui5KLYGsWLKIdo
beh94xFBOMVp8ll3RlYD2MKIq4p6rlaLw0SEafIeZgNBPyW9U6cTDEw/T3eORYVo2XLb2iqDcxlq
VoysKPliG9FhyTsu1Ia+Elm81jiwrfC2DOtsqI0V2IPbfDEmZodY/Zo8DzcFs6Bcn+i2JHoM1wz2
2WzmW2NQNS8fmdPS7fomTizIMI04BVV9Vbboi7BOUG12lLs60i9Mhi98K1Q2pABbzxUFMNKSYc76
QgFpiX8OIYwzvCajHW3HKTuODG2uuJMdg2p5tGpCXlV8OVtlTqLIPlQBJOM+qTYxWeqqdZ6p5sdb
Q0WyaSslwyG5hp0wZnCMW3YxkzGjNCVcyKeabr7bMMA348JiazjdMWFAd5WL1OZ/nDYYQA9m5zAz
E0fpCgXR3rUF67Ohgaoj4a/Et1mQv9Q9IxUQS9JuPg2l8pAa/KpVfEtNX3YsN8Mm18L3xHV31lgy
PsBHg8r5gizprWq1Y67/O8n5n/+6EDjI/fl58iYe3ps2fnv/fTNItvC+HylxFnOgBD3yjUjyvRdE
m0hAHKEExOAo3JFfT5QmRBIs40xYUMiBNsy9qi37Lvrf/xgMcXLDgZBGvo0ZTrrc/6AX5P543+AQ
aciRUC5LLqYGICQ/VUgiveA+2xv6uSnruhInJfvQ0bqm2uYMWJlJeun2upHikAoYa47Hftlo86yh
zOtiC9atml32Za2wH07K3rIK49ynCig0vS2OOafU29lgFWLAqjoVcVe+dmE3HvR8TG9NbWyOZgni
3usm8U70GtSt6QQbqoGyglB35XOkqqoLDYnNqxkZj3MzcPUaRPisAK2EuuGLYsTLjd7ace+5Eeea
YmZyQXVwNVR27U86LjCgQrmHzSG9yvM+uNMTN7rpKyWLblXAFCFtdqHVyx4ybUCdnGg9KxBmnFDn
CxLs7/XVwAQudfV5dEhv01obrptGc0byq7R8fPwQg3ph2xAQcyuuk3sFdDuy4iEVwoN+WDMz0Rhs
5NYw189p3xt7cwAptXDN8ClWr5pqPjhE432tsCJfHRrXOg4VAXGK1jYzZhHrLcC8lqJ8PVCpnOPC
MJCaUahkegLYcbmYN4vWDsT3B4p4pUhemUyMDhUlpuVsJXW3J2QbDzdUQrTN3FjFYjDCZYrxnLtY
JpTtx4vw7w1T1vr+fEU4vzQxQsCX3y8I8vO+LwjuL4YqkJyAGf+v/+TbioA1xSBX+hVrxJTGrwuC
+AUgoqYx1GEycy07wN8XBPELF0s4jnRZTYaxuRP+gwUBfzBXyJ+umLDSWXOYKjKh0v2UNkgYpdTF
okeXubqYwTkC8v08aWrk7C0Y2eFVybnksPS1/WxH5kgJRClq8AaTMj41i2gfANWUt64bWwBNjH4s
N0YhusfW6JkCZBJCrO0I3reJ3nOSns9JGj8z6f7UJ/vKwQvErN1lL+Wg2fxCxPZFl9ZQyol26+Rr
bEJbXapF9ZlbkoZtdBoCBg+aA7U8xORSSEr7q/VCdX5JayYe67EZmb0h6dNKlekspaZgYjdZMTDH
UWBrs3rmGcKmIX8Y7KrcvjEHZkZiW/NTg15EQI7daRgvwqNa41Ot8KpGToJgVapWCyldBUO3bB0p
YqVzSj/CtKAli9OAq1Uno5faRXbKsbj2UcrhPNAd32yBS5hN2KzyEdpFhf91qKv72lyqs9GAEl8K
jkaNw42iyWcmz03mrhspk+0M2qdTEWYnSFrAKatPEFpBDWloB3u1eQeNNKNcmbK10/Y7gnxbFXOt
xpm2EiLh2Oh6pslUAyWLDQcGCBvSWAcSFhnu4Fi7uOC/zGGCYeGWDwXGXA4v1w70IbwRr1oa3dlS
rdt1iXkKQCfFlXIdV1zHB4vhsUAqeUMUT6FkTpYZE9W2fWc2KNKpvOJbLo4LjeVKCn5TqfotCiFW
3M0SpHnTEfGI16njwOxZsc2kKlg3+8XrsAf3WIQTYC++LcXCnG/XTHndIk5BhyPlwxEWYrNGR9zL
qzMBP4eF1dx3UlpMA3hCRNozoIvQ2DKii0IqjmHXUwXAetzMyedgQINsR02/sjAji8Z5ZOv+JILQ
0wGGZDlJwUl+G+pwo8zOpg6WywyOFCWDjRtc8bCWFyYu5sxNr5bZBtXPba2QuuZmirnySYWzisu5
s3nsNOzOJUZBxkL5xhXnURHULTqpgtYSrJNKE29SLNFWlV8aWKNN174aWm6O3dDQ5hHmRjHqZ5Nx
4sjS73OpnrZxUFe4qOd4NKAZ9kfFpck31BzI8VY7iUCOPZ0bu3/X8Vq3+K01YZ8SKbxWpfq6y1xc
jVKHDcvuLZOCbH0B5OdMWe9X2LP5y9urbow+1Q1ibU3NL3VM2xS2NxCsPitK4DlSxS2klDuHvNP1
H5ru6CikuDuyKWbiP9LJKxbZUclQv1ofqm8UUghz8hfIgOm6wweutcGnTArCAWQ2dEvMnessp6zo
zr3GmHVvPo12/oKc4LBYfFGc40kVM4jk7iNc5G2mbk3c5IaUlMfYynt6QyvsusVmxqJr6tI/p2lc
cCPQBJ1xjLWmuG6nNGgP06DJFm4xMBEMpMB1a3rqifOI+j2jLJMDZ6jpZ27qTGW4pJ3p2RUlGOTJ
1K+m2TxQudUuIl4sj9+5dVkI0mvWAGOam+30uNRFeNMA7D8mZmJtO34E6zFTsp0GPmZVEeUwViH8
abwkdhftOsWAIUkPhTnLSoVtkwTp1/bYv9u0TBX+xTb93ry+v/3BJs1nfduk2YlV+CaWRQOdSKbg
Q983ae0XDvO2yZil0Dhd0bb8tRBMlVenAuxybnchjf+6S1MINolcsbEavK0Eg//JLk31+Pe7NFcH
k/kqCTM3f+51GIo+al2dppeaim3ngGujUr14yE2F4g6qrHVus294fZ3UyBExqpKWonmxI7+oBsm2
kBVA+nBJ5zxEMyOTgKvuNMNsMCxAUfgUyKKA3RWk5LnaePlHxUAOeic5mFTdondKXaFM58tJwXDs
Cv0lEDrDEU16rKhFFDbCVkF1AsrWtpLlit6ZHqjcvtnUMSoDllqMC3EXTvCHsNfvzNa97qh+DJyo
EYXlLDWyNFKNXXofUC1Bxcg2oM4kPSbt0qGiMuZgoOCHqLtQllumxtkNNiTXPB13ga0/mbI0M5Yz
yEVZrimJM69dWcKpjJzcEAEolruA6ksdferTuvMLq0q3Ycpbtsj3zZBvXv/xEo7yfQT7wqtZf7ym
unxjJ/nuRpEq6Wa8z618s1X5jgv5ttvyvS/lCgCv2bqM5aoQaqwPMwtFLVcMbisltRhWEbum6djI
lSX6WGQGud7oLDyBXIHwJFH0iFj4Z7k+dR9LVSJXrUCuX07VSISBO4Ml5IRTxwdTIErZI7BQ0o2O
inuYRap91mrD9Htm2USdQHMaejAnDvV8RnmjAjMYA6Eb1cqvzcQFPYGdHpNCk77TPHgEzXcqVarK
2NG3GUUjD1z/uXGVc0toCTNW7FsIr6eoOFR686Qr6SkZCZ/Ven5nhNG47qTIhtoM2uSLIp8og0Ud
1zErmWN9bRiDkVCjj5LlrFloUFRkpmkF8towh2CfztG+zyX8JKBWCRLPWedL+LpMI4RslWGYyg3y
TSl3Ugtbmmc21isj5I3cxlOuX4xzGtG07rXOF1LZNnUT0B4MZvEAI2NGzLcKSHx19pj7jmpRd2Nm
mRtkSN2U/zORO7TmrsVcAVVTZbPFcgncLiZa6SgmqT2pF8LCApA2FKnnivyUqnZHO55Qq1gU9eKs
VcCr6M/2BMAmmMvbUUAUd+fR9YKiFahdqFVRmlxxBWAUSoj3PAjfspKDKm+X1yVEzhMluerB6vAM
6GtN7YXXtzPzr5pk75eji9RLl1jN0C/Upgv9wOo4sChhuVAyTUSZHoq2K+/+veZ9RXix3P75/nFb
Zi/FHwiGTT7r+/6h/SKxGOwPgB+sD0j39/1D/8WEZwODC2jW127ht/3DgV7r8oxD1GKv4E736/4B
o9YgzEmii/FXiQT7J/uH5sjG/A+3PDqWEudPLxPQv5C1p982Ek0nTxqz1+dLB/L2lUjm/CbWKvGJ
E7t+mMeUcJBGOd7pBvU8AkVlCmiIKGUOy4Nwx+42UstsuyxafLQpb6+F0jVYAzGsE3m4yKT5ZTC0
4GRZ8DkNmnqrgYYB6w8+HjJ81bRTHPcw6QuNsg5SCoyGFNecWmyTAqkMjRBuO1U7PedRFB7KGo29
SfDK1wtVtmWcCs36/ODqtRdlxssc5OLQ25qz6bidHou0dKFQj4xTd26Ah0e9TI2eUcKYlcu1ua1G
aHENyQQqXaNjMDJZOpAhSfJezdpoXndF7tfLEkp/5FM0hQECSSDUaXVIcDp5U1Kke31xR6/jPn4V
auEnNZ0PcW80G7Mqrq0S0AhaKmXb2eFyWMLeOLBPiHWGkhl9crsn2eP6RGdMLOGFuR50PYBXMTir
GDXToc6rEQPxcL00bHFVBuASNtCyUixrndD/Wemhe5EYcByGmZ+OQiLhJgaCi4tH0y5b4GPoDsZq
X0ftAY/nM3W9aZVn2BDxoSVrqBuHiHZdB8eXX5gy4tLKpFUrQK+VmADNpW9rQryVfxi4Flxcg7Ry
Tei58H+i/lO5YdFUdfyxyDyCgbe2Ia5zERpMdk9bHd2XnoydezKlA6xBBjbU2lWJHEwNWwEJJN5X
aMNYm8mwIhILpFGM0DVIKWkZa1urIrmUH1sEZJYlJcX2eDtERKJbSOeswtzjMTxdAl7dFYjMUDuc
ksk9V6O6jTRMZ4t0ntmBfTUHyWZBhpYvccd5Jt+4JnnvRQrTCEjTLr+nZ5/5C0o18F18BMlarjef
jRHrmsuuBYN9W1rzPXcc6S+sGLKQrjYSxEiF6tRC66BLtDNq7sYjjQnvOSink0tDjrcij9OTRv2P
vXbOygM7leELrZlOoa3H+38X44/FWGZg/mIxfnltmM4ouj9YkOVn/mZBBnnJuAOVNxZZueB9X5C1
XwCAMbDx34/wWb8uyMxpwBmQpXHK7oKoyLc6PAuyJtXGXBCkC/6f1eGBNv5+QZbLMYdkTAsyw/Tj
gmwkQ9Eu5TReTpkjAR4x1KgBKlSVDF4upm7Daa41VpNlDk9jkh9ZHN0trEdB5jaOvQC1jh8UjnYT
hvYas1y+ymfoIbYaK0e1W16sQF+I2Xfv4KXbtUhgTlTYR/F12mfSqehMBqPeVNNQXxBLWidYSztO
bqOKaTbGZ5p3+sFstC/pND+M+E6FmV7W+E/BzOzcmI6xm+Qw9qQkNcmQEFDlYU5JNanEyQaliVU1
Eeb9aCvP6aC8j1K7KhMq3jTO9B/L/A3MIpRhVbnoqLn7nG8l6hud3+AyECylrqQ8NS8TQ7capPK1
n8uHSDpgccHaJTgh8aGH7eHHYT/qw3MY7+3KuKlb+2wglF2g+8zFla1Vo8/JFiaYvVkg++V0HgNs
tFFh3Q1ST6smX+bQrMj+6tdOg/TY6cFSDGGLuI19Ypaa2z6LMsIqGQ1/F/5kgw03Dzt4ZwKcBpDv
xDOyqFmrUp+7lLSlWZsXrw0Sd610duub+HbTCEBdrjBW1yvJDRwlnX5FVq6S2aTAEpOZsUrFODdS
4wvTd/BSR6sOi9LclGQS2BDR/iJB21uqFvuNgYcU7ou16wN3Th+KUBHhWW+X/DFpLSZYspy7i5cN
izcZ9kh/Mx7XpGO/tC7pxWi4jLom9YycytC5C7rWfW6sJX7Ls1IokJUAqsNsAJDW2tqlUIH6tDSe
vVCfi01ljuU5X/T4Ht/fQ9PFE5srQMl4yj2LMPPlaCY6DMG+2eizc+cW497IrS3ej36bwcvcURS5
V/pAo345GnBa4MUPIxep3MzrlWj14rItUE1z6oWmNJynaC5JbMYQekxRekmdTVfFXLZrpx+rO6IA
n1uCQ0eR6oNHwPO90iJmi82ZTZn8h8LlEUMmMcVcsaC/uF2/a5iL2emNnd3Wds1uVYriLtVnSqZa
HOE2rO5KB0Z+Z4Mo4QgDAMnCU8LtuA+URJa5Ud+V8yVbHrU7A7BoLo8gVqyP1Ps4lswxw0PdrL6w
g3h1ND5gMq6wQXKYKRkp8UPTnVf6ZCp7RXHH5zQZx1Wx1IEfO12xnaoyfU0Nq91lPXwt8HtIMaJp
N8jDFIBJicbDTriy5WFrlMcu8J/O2Rnmi5b6BQEfhZhJGfNm5gMzjaoz+R3UyrPiYAJoIWmvUghu
/6YMv3aFdZbuP9+Pzggs/qC0xOd824lw5Dk47iFb6abLUZ8PfduJIP5CZWYHoMFjq5qMH/5mJyIN
yv5AAlF8nSn8thMJifUlx07EkLqT+s+mA9Fj/rwTOTSZbEYTkYCBiRY/tYTbhUR4b/X2RWgUy6mm
mFVBU3Wi2vSVKRyWZbUEPUERBclA5jtdIMrzrOakYfo4Id7eWWp2dvpYzTtOqnyNEPrTrJiQ6HqK
C2u03HoBw3W0WD3HLunDx7EnG+UvamgSDUyZt6v2LZtNBdjdsif8AIK8SKSU4UZYjeL1U/Goqz3T
FITBOtnCaVt2hXpgBoIsE2DJUGk3QQ/1t6CzXdiM3eVMZ83qTTHLrJM2cY4LKtJ3+bGog5M2Tg/g
LqjwC9oXVZVv+2pPyR//bMi9OraT2EtFR5xtEtynHVKRfbAw1zEtj8DFrjR2LIJvxkrpW/BkEzEo
Ir5A0XLnwD72psuiQ9wPn7rJIgcSZsc8Vi0/L+cr+O/zZrQHRjp6FlSO5J1niGXy045BXyYIlvVs
NVBLVX3NTNfsM5lEitMZ3hRzOhLnIS7SBI2XB9rbxErBLCDgP7XeQV/LAIhnp8TRKy9umgcGHzEW
1uMJaGDvDTGVhAVqmkK7oxY9g91p4OUKmdKgCaq9iXViNZnlRaKXN0h/vEBUR2CwENm5lQw0IzSs
8NBdP5sz95UG+hnihNWQpTjPTMUbqvBgBvm6qRziLcFirPRuSuhhlenGmQXBRqM75woNkjST80bM
32lh+NjTUPNYPYnUzGA8FTu8mgSjN1wlPK3uDkM/4MxQm8cQIjPCAetIGuG2C6e1PVGJTCYshkVy
ExbDKbYMPwWJydViiYlvzRlsZQwJTRpEnjq5V1R7BBdW473MtJY7KId5qygvLK3otpFB+8ZI74Vl
P+RJzbG/vlSiiouJm0LnzdzEc7KEQCcCesGFixNUrxpPagUaUFAOHMbsdkqtPdG0GZp7RJXNYVxp
BqzBg65HR2apNKb2FqxS4/hYQNn2E717nILxQTPbO7OlMIfFaltE7iU7OLJxh1NURwILQjFh0tHr
RVohgabf7xBwMrr+NkiWdFUmWs+YabgPWzPc1V1909vLU+qEz7VF/3CK0aG7SSwZsabmmWp/P8Sq
TS+VAdHSjg6KUh5Ip7xgy+VqHNaAlErtlsPXJm7Mu6pVt4pRXo0qOvYpNm5Ncsq+E6nkFCflIozM
cywqxUOBuZni7BGsY7EttPklD5dpl87hrh8aqBWR4yKTpSNDNbYEVlc8JQVtzFkOrWbT4hxddSb3
qqnbUF2aU2ynm3wkfBbombmWEh8Q3+Mma+dLTTPfmywi7tbUF/Q478s6iA7A/bO1rU3vafz/7J3J
ctzGtkV/5f0AFEj0GLxJ9Q2Lxb6bIEiJQg8k+ubr30rasiVZ1zf8xh46bLpYRRSQZ5+19/ZvElJt
F47JM1JkIwLCPH0delaSfY8lLwgNa4lRmi1sozyHLj6cgMp3rDVcOug0i1RowLgynpbVVNpLq4x2
1IK8OlGLzd5RxdGOz56pOgnNek/b0VyVI51exCFxQaGigPR/rYEcwzLeUb7zXHzQj2CQruIhJWCk
rghJb9TApDv2z6Nh7UMqwQhE41YijOQkQCwnUMsJ5BJb93VSB8c8S/ZRW90GUfWVbO9mBWF8MQFt
qohdqShOc0Jd1hXZ6SvGs1a0Jz1da1fxnwkgaKGIUFexoVkTLGxFiw6KG4374cFXJGlX0irWK7q0
iNPnUfGmI+ApEIuuOrZowR4NoGDwVGN4HxSt6iputZisY+Tkz+PEJyr87jYbWgPHaPlQYyZamo32
YFj2e8SReTGlrr6YTXuvN+Vn37Be5lr/2gsuBtaOd7LmD4bJxVzZWdtwiyiqTZW7Vz3ceWgGAo1z
0DBv95e2lt7wVjGqRuc5t6yNbSm/T68ZixkWG22NAhhP33dlGkMJk8VoDfatIYOnyMUkWGfxez40
KC/WwIZ2mItdk/b3xEXOS1InScTErOY3i3+n9o+p3QBe+dtTUvuOafkXJyV+7ttJiSWcoQKG6db7
OCh9d1IyxCeSEEyES8exgecA7r6dlJxPvgCMVCIphqA/B/aPnlKKFMjkMX5rN/0HnAyawc/HJORd
xhjYG9NSquxP7sVcZlY5Cc+5zM2531Dna63IJ3x2WRyUbvdotM59Ol8HlGwCa64NSje7NrwPVAvn
pNgIyURbUdDJEp6yTnNI73PV3ilMVb5DoafTtu1iGsK9pOpTDwtuFF25sUUdLCPVB2ro4oXSefkm
VFeoqVpDuc0F+BESsOPa2QVhfSiGiOobM3rM7fKCCvvnWWvh+L16OcTV65Sk135kvtaOeBr7yVg6
7XiCEy2XU5Sy166SY9cxlNskWj1OuvcSQ8IeC0laqBhsZ6XL5D7tshdSrOc9wto+oA5w43jzbq6M
l77JL/2CmDLHvfXrbcoMXflY/Oi2v++i+NmLtd2gl49NrYUH15Arv7GWedFfigRvMaFN4xRfKvqj
mhjugzj6UrLf5/QIou4Ml74CHcrY2FvlBsBtwVBI9MCtcuy5G9mmz5VBpxe/4rZpZrVO7FeZRY9U
i0aHZml494EVLEq7adgbwiAGlEUkgXZBfNdAM5PbY9zr1kOZ3MiG8FSdHaaFu2TZZ9muKrMvtRYN
jFEN66Fa39bOHDHsdleT5+/ofnNIYCYlPCrM9zaOrUNW8HoZRgI7nFmX1m/6PMVYlZ0Los1XZZO8
jk7gK4/DBbZjclD9y1xaKyeh8xCinq4HJYG7K9emF7G1RsIgdEwChUIoQnSjpTP0YpGl+IgztyFv
M6bejAcxF1tMw1Kbw4e37qsttT1Wj3bTNQalaGwxDWO6Hlxi210BuFSZnyeVumpVyU0hODNH/OU0
ad7boNZVnqFouI53UWlin3nlSSbjCz01D1HTvMnKG1ZimILV7Dg8LqnGRqTnYJIm7b6f2nLVk3zR
xezTZrbaAJn5NQ0f5jLtx10u2nJDAwah8RPiRFruTYP8W8ikr/w9jqWUZwtpNYX+QifRlznnKdmT
DTFl5i39ci/EghxbMZzKmclkbosDPogLUoj3Rk7oQUbHhdd7b0kT7v0oxMtjZAsHR+vQxLey0+7j
0tnrRXnoMG2WjrNP9fAMqPJSNNm9k1Z8qPNwYZn1kVH/1PVpu5DpeJ3l/XYM4gurc+Ddh530y72o
efBM1q4Ko0No6TRATOZRYhEfGv1Kj6xs01GnEYTt0+ByZmmsmWNVe5adUqdm91D7xo0dy2Ma9zty
LDveYd7tkx6nul6fQumeC9l/buIJNCc0bpuyeeSReAzG5NRFxAaH001B2D+RXdFjmkUbYKnHMHW3
dljucif29jg7tk5PQ1Tstiez8FVtnMnWN9wzZV7nWg+/pbNX6ep97+tP+ohl1dMzysWM7oa6jIuO
BtUFMQgREkX+xAp653Y8q1FLaCZnOPMK5DbnZfb87aCx+/U5psX9c1F3u8bWv84NmXIxe98Zzidm
CGa0m7UivzFiziKZN2TGxispb5tG0zxgHyKww8mOVMexTkj3NC4TDCj8YxRFZ6vPjkE4DYukDE9D
gNUo9ou3Pm7xvdYZKeb+tir9y5rwAkChcZNXuqBvQjzEorsYSTAxU+2SzK3bWf0J4TLfpBj5NoZr
E+lGhNrjqPdn1nyXeoorwXGxEE3Dq6ExBsUyjPmecAJv+VvUwt4UHQnolZe/SNM8TT7jbxvXu7RM
tlRCDiuUswfX0Q8VVVlRBEvRaNc9lOHSsO5IP8SXPb8lmXs7s7q9KOxK7vWQiMK8OGmqESqoKJaZ
7Rchna1rBAvLhFdLWjI7hno0dikjrWGE7yknRGIJSv04udMFRKmxEYJMdJ36BnYtNZEAkYS15Gzv
hPquybunZohvK0b9qQvvgrrZFRqj7YiUR1PBlvd8F07ZY1tFpF9ZV6kq2tD7pZE4FKlSaGJbJcJX
eBfrc7PynH6nYSFvZ29fN871nIldHfp8NOKsVTWZa/10DVF9SyE2i0BwBTLDFaIghmtpOqeG+ERn
zcLcyNZoXfGDncctN3/HPRpFoAIYMpXbTVNdNbsM4j3fTjQKWv4WTs1bYp2/48C4dcPCpyXA9hZ5
2xdr2tFIe+jpiAl78Lu+y996HD2WUyRoprPNbGbSo0DNxgg/apftLogwyoxZyyOm9/sDWb8A3dr0
tajRW/kWL9IJ476Z1GLBpt+juSt7ZElmMLE7iOLYojeknrvaIk8cvON5eAGvI89FJdqnRLgAlPZc
a1Axg33dDMV8yLwZEmHILKyXYDwC9IV84lloF4NZH1BRrwyPgsQxWbvG/JBXwU1IhUlXGeHCNYul
kXmEcIvqKRjsZOmGw7oWDa7rdNx2BLKvzbZ96xOaeFPv2QrMUz9MPGRoVyEHnZKlBXkUd5JgiJXn
Rq/cWR90s94FQ3TWbfoPE/OIbQlAIaIdOObU32i0r8/20Y3zE0lPJifkHN0/3WgyZ0TnEV1Pnbdy
6uCcIHRkaXnTNkrGzue9DJ0Le4x3oiaNJpV7SnUWdqmnq9il781JzGt/yG/bkQdGOZF2URR3BRED
SBPpkaFzr+vayWdy5Si0NcZq3wZU7KTRPnSrI57IR8cyj1khDrXJk9b0iNORnxmMWZ2G12PASWGy
JQvdaI25Y2lX7TsVqReUAS4bLrqRuKTOzz5j6iV/xy/2pR7f1EayZmFHaRD6lplj8Br12ybV4DEL
TaPhEJzQDdfkWWyCHlA4IHO685tNm4hd3hlPvQfinIhxY2sl4g5qbMD1SIRQxd09faJ8EDTIDnEJ
GGs/RZnuwozUjuSBouOt6c1Xek/QVNqKu2kATErkY4kOyORsqKbo+EtQlz1b6aEDtDEvB1u/DELz
ZdRpC40TSSC/u038eO/Hur8JQ0K20plNt33ZSsE7HrL2wjG4WMJysFGWULgwHIh1MDneuRTlobDQ
EzLPWUWtfp1Z2kXWjsrDZm6aRqsXgR1BKjd6vosm59kekunW506zSrPxYhy9bqUN5eNoz9dSc54N
Iwk2Mq6edHwnC93pNmnTU6zZ8K69QOx8deupyD6iuiHahXWWLMGyThLEJw21+Uzx0FGKsFoZDtnf
VZ0zKRIvXk0VbCf/RDLqSvT0DsSjZLmQ79EMcDO2HcFI6qltW08jsAF5YIQ31KOfLegRvBRpfAlv
u7QSK9q70dxcyKB2gM5N4ryz8DDUwbXfZM96LK2d+rqTCgWzU/A0T+vefPYiSGRpXaMjxhe+WRCx
L/eh1O8M7H9zaevKOIOQUa70PL2oQvY2rlVDROdfgd9Y5ZgGw6x3l7bU7zHhp8iBfUZtK2bvp0lU
N/5YFRQnuJeJCC9zMO7MtaZjMSYPVeY/W6N5Q+RcebTNpMBE6JDc31rPc+7v/UZoy0SP0WB6/sda
JahpjVls0DK5SzJ43KaQPB1DK9fN21EkBmNEXaPWkutlGUhxpqOtDREH8z9PgPUdCuzAXASojKP/
NEAZsa6PhlHE50RK4jhPzTwufOv2u7Hy6jei5fsgOsWx/Mm5qJhR9SKOsFhamoJRkn//XTpGGhAF
pzVNTNPOXitOuhYtNOuuHe7+/mWYRP/6Mi4cpqXbSvD6CacJdN1nCtA5uBtfh/JeM/9xODsIpSV0
w9IZNrFt/fg2Gn9yytLJs3MxcKHtvAAPyh/T9y8+pl/8/gROGHxCfFAstH8yfYSuEmjtKj97zB32
le3/l0BZtb3+y5/hu8/np9+fhC+BfM/ng3dTy5cpVDyteejt71my+vu38ouXIuGQlBXPsrHQ+D/9
KTIPvXCYy/RMXQQGVvqz6Y0JrSWPYfzXf/9a6tf+6W398GdBbfj+6mLvmvcuzdNnaS7R30jB4qvF
PXXqN3//Qr96U9///X96U4Wb+GXn/fZCqOJEKY7RhueIehTL/3KtqV/65zflC4FtlacjURcKHfvu
K2PahVHy4GXpam6C7LUf13bw+e/fzq8ut+9e4ufLbW4o6Q5BPc+F95oEz5b2/7icfWqXXOqEDAHE
/eNbYCNst5bG3jjhDoiAm03/j5sXGzIdgg8eD1QMZuT7D6nQCs73VACeZ/d1cC87tfFp/8u961d/
dC5iWFplIBVK4/r+NchQkAWlL/m55uA3LdXGxb7uKexhVWb+lyv5F6/lUXxPaZzruQL96cfXigKA
RD+xi3OkZuo1KVQRsXEVmvrWuPn44//rOjC4Pfxx0/1Leuzle//6hev4t0TZ/Zf//d1krH7qO8ET
8ZTrCgIIL66KW/q2GkbwNDxdd1xSZTFm4vL7Q/D0P9kGgUf4AdgPqx//U/Mkzkan5leF06iwWfuf
QKPAqVwEf94ZSJ9xaaNVzRfsfHnBnyVPYtqkaQfxdI6LK3Ny26URMHuPrX8/zmRM6ROxc75RXHhz
dgPh8DbJTFu6rPgWA5jmgjAD/EFU1DepfyZlp2Tact78KD1lnf8wz9W9ORRfuy7cVJojF7HvPmcy
lwuvcYwlgvxWN/ILOl0pJQ96n6pVzro65fMZDwMkwfTBwQlAI5JDeFdQIQYGxBka9hN1mw/hNL9p
AUmzQervhqq7T+P2qvYt2k4CsdV975YAepJKx/Ay6NsDtA3l6VpzFB5D01jgqR9L3vO8Ssgyrbxu
33nRhqNHsOBLsyki7bGTDAisM4jwveQhtJkt8kgxtwVrIG9BxXe3Yum2qbzMY1fHhsESJPfF5yYV
DkBJNd3OdMXGfUBKomyWczXiVEvMeEksDrkhBc1avmY/5zOhjs4QuODpenYA64CMGUTDbj4gz7NM
Vt6glE6VSjlZKvdjXpiCbdYkSyYU+4FNE63vIbs8juld2JKdYpcstEcHnfReDAMHPXyAFaGdVatH
6yxp+xotNkwc3Fhhht+5RIOs+viCaX+dNtNWz8bdPPQOlYaktyUh1R46JebujJ86sMW95UoFsVnv
MrFPmU4XWt/OLzNNuAun4cKhnO++LYqXOHunEvVAhEoJvd/sp64jypeoGycpdqWha+solaoksz/5
OnEMKdIaYO3jZDmHXKJ15vb0Wgm7urfy5ibMrRuBY2+Qw74zxu2YJAFb8YAtfRzsqEAj/bMyj1OX
ioWvSXc/aZBoc+49aH3tYcrQNoNvbPUYLldtJb1g2M8+1C38Mo30YYEjVCNptJLbGHf5QnfxvRjB
xuxooNNig2TH7mFGF8hs42tp8pkFCXOPhxAfpPf0vz6HeX01RmyjxtZjaz0/NTX1rzrrReQ8OFn0
rGJsD3lHxC81fE99Oy2Y8V/bKV4TEnVki0sFnnx24qFdBSZCHWgsWmWd3XVWfR/xmF3IDshMd6ky
IoZGzjAVrftc4StZ1J1zqnHjzGDIukncyaSNW32alnnXvdheeAOLtnFFcTYt+zxKfPiVMxvgBLAO
lVNczGl/aZjhJi2+pOyqO+aLdTME2zIeVKiQxV7anq5ix8ZWQWKoT4Asr91QV9GMSxw6r3lA+oat
p+2SVB9CDEOM9v1058wtye9lBuxVu3dYjo8w5c+zF50yf7w2DW1LiiipKpX/Jcj1Xe57XEZuRZRi
zgUY3GXJPK6DxHinHQGIrxd3XMZPbktmqwjKyzZ2rhvf/OLPU71OtOGqDBCg8kZYSzbB5PwGlHZm
ToQY36Lu2OmYXU2pf5NiJFWDMXmgPRGDOaT4pnD8tzFoX9OsugoEJYeBawerZtABKaYKCD2xj9Jr
rKvZ9LbaVEZ4dqjGupWF+BxMhKCE6Xw/l+WFOYdvAs2iy7ppR2yCtm5T4zLCEbVoZNRspgxBCQvp
eynded1hssTOKjFatpW/kK3PJ+C7uETsrF4GVn0xC/fYGgImXexpwrqp0b0W+mDundm6JGL/WOa8
yzitVrKNdLQozSKfliz9KO/Qg63fzuT/PvItnrX/+ZF/+9H1vqy7+a+PffWTfzz2MYt4QmD8VwPx
R37cH4994xO2D4fT1x8+xG97TpcDAQ9hCkBtQn45q//52Hc+kX5owyzgGGFq/GdEGGDaz899joaI
347DMdRVv8qPh0OfeF0nxHRxLsa4JP4DhROo31hlcFgxgRlrQ+mgDf1Pyyx1M/j6dl/ZAjMfVEiZ
58MBjckkxwIHYat3u7AM1zTvUX5dlwisBW2FKF7rxE3ehqDm0aiU2r4A/syUeusqHVeTk39FFfu9
rXTeajAnvppo1imWrrAlOTV+RKa8y/O4OLsi0JblKPD9x+hy+ijiQ57REGyFlJL6/rUHpEFwu/Eu
tJrwbUMb7orK3znIzIkcp40+FmutGW8qAY9dymyfadVlX6DYWNXW1huekPZ4kbv1LfdYuIqpPDW2
i5zZmtsUKYA7SfN5gvgF7wz7tcutZmnGwZbH/C2o5yYaLcRUFCASVeN9n7kvQkTuchgHGmnQtryZ
XSoy2LIbUdXKWKzGtIuIOFIQ9HwThGLa2Zrgo+ni/pjFUD+5HV76Mj74Hl9qhJ313GpfkiTzF3FF
xzroyXaY8ZdXAf3YWp/SHY3Evehmc9Nl3pUZYjk0W8VXE/betuZNwqOhbL4YXvnV5X/XTXxkccVD
NhLNa9QVFjSzC5fltquk5FZmEo2+YFJalBklhlNmsU6cmh2m8JuJlfJVlYtTNSbjWqeRlSVM2azw
3xpbUlDuLKpe2QOS1KbZ9ww9/qHqkx3EHZH1VUDoG+cHL0g3SM3HpmyvhqBctRi9kYU35ehDi9vx
o281FrXWBq46QnNXflZt5tg9TdX0ZJT5xir6Fwsr0z43+5u+oeJUzMM7rzyuRzN7791KnMHQOd2J
6SoZOeYFaXTyOy246M36jb07WdW1MPZEejkvkZa7a6g5315PRVOt9ZnuaJtWrqSXlzAnmPHDsrke
m9IAiZnUMcuUxOTYjvfFk95AjKzJicLd1HihWjPYTDbB3GZQP/sWuzl64Nn+SV6CZlLZpbt6gCXq
bD5iLwyQUKL53pQlERLGNBAq7d56lcMCdHrPoipdidS+yQJC9B1C9ci9vzTYVQsfcZAawVnVv35J
Zunv29L9MqqYPkRm5AvwllUpmmuazfmI61NAQsPKJXjnQBEABDvrjCq11pgK1bPS6xZinPiJkbgK
yvCmTSKCr5kMrmjo7lZW3urnPupKwEbLICQnO1bYt9az7lQ7wvtWGht5WLbDkBjNin7I50TOitVr
2wv4Qf1kDrX9rutBelfqFilovTdp8FvR8HsH2b9PJzU//uen05mC2fD9r08m9VPfnkywypbCjqHc
lNdFed2/PZloMmFEoeHDcDwUClUA/u3JZNJxQniqxwPN+y309A/XjPmJhxwPE4f/LQ0p6Cb/AMKB
svnpyUTysErH8tFXDYuA1Z8kksoRUzy4eoAZWZBYN2epvxRk9x21sdKPhduQTafpU0fVfXSIg+nZ
C7FhSPKRzJ6gJKJsBpfQDxb568qky1eXlVyPSZyQ+uFE5QNRMuQtiY/sJVgLytU/Epkw29WvFtH3
722nB9gaVG6T3fRkd7O2Kji9byJg6GrdZiTW08JokX9YJ75zAHwFyKdVpPnoF0ljSddIompHxrr+
qhFKzWMN8M+OA7bEtJTQk8tuU+Glmpn4m0yVmVCRDGdNv0nGWlXSd8Je/TTTfyLMmfZznyh67cIq
sz0lsvsR6X5pOzWPZUGJStlgrjEaK7qQlrPVpXaVcCK9kYF3bFUJCw/6AstOQ4hdU1LmoQ3penIS
wF2pJbRpdOexbc5aSvfpAN+wmFhVcoId1hGoNy4Tp9Wgjc2p/pqa7W2c6bcEmeWUPOM/vNKqdD6Z
FihnJTehdKInoleXbkspTBPkp94iyMQso69uEyZLQ/LsNkqPVVrHLGvmt5pjDxvpMbu4NIav6pp8
20rVv2TOAjPhuAhm11kZoojOfUiWTyzJ5jHhodtRK2+cgWcuaTHA6BR6+x3WSkMAymgnEjc3ZInh
3u6kdd/4tIYwlfFYz7yNTq35AhliSc9LTTKAK5/toCsw6Gjs0xYFwULLZoLZ+u6rePWbqPL93uLH
I9dHzrSq8HY830EOQs7+8chFrvqgp36TXBr0nm/MbDBeSWL3lgMhJr8XA/97/zNRMf/z/Y/T+f8s
6E75pXOQn/x2D4RCRPCyIfwM7jMfqOG3eyCinGNZeCSgCtHEfG5P3+6BUIhobhRxCBYRP3CIzifw
RFRn20Fjx+3xz/K6PjoMfxDl6EgXJEzjJkH6I5Pkxyul6Sbb7lNPI4Qgp0Op3PdxgHsoc1gYKqoq
daedpjgrZrtr/II+5D8M1gCMNSgqC32HZBA4Lb4syRLdD3+xorgqxXPFgF0k+z0Q/fki9eo0kV3H
d8y7kIoFs4DCAmneh0BiuaLFwpYUiI/WbkAyvlBLtiMNhU/6ta9Ys8GDNKiTmlIR9+toOeMmGeRt
biT3rqDeZ06xg3caA27uV09WR+kMnnQCRQG9k1BC2pQa4aNQ2Rzbt0OqsTgNTBiqjvjZ2R1IoQhK
0CQICG0VjNaLzHptuk4Gquo3GeMAh7tSpSCQiqJLxgwVl+Dj7+D25W+kIEqhV6EKWEtcNsrmuleB
C6lKXlARDD5e51yFMnR68qUlpSFQcQ2k+9scnC+z/t5oKKdBEfUJ2SYdmnn/1lWRD4Lsh0SFQFAP
bayhBUjrKnsMx01zqPTiDVAxqVdFFlFMT2go5kknt4zrKg1TAD/XXvGlv9MjtDa348ExproyVj4V
VvnAmazkCTCWF/g0p6Xm+uvCRVwN5b7IystGNNscbi7z3cNoB08EUSIApea0L4mN5gyv70WnAkB4
3yAiI0ygwzpaz4gH5Pd59MI2PvRqhgJSHxaemqvgJPMz64K7TLE4uWQGgMY9Wh+gTquYHYJHICnq
D5RHDN5pNqZrvWFG0R0a4xNF/tRSvw1BgQLFBM20dVVAQhoYE2bNaztx93Cy27TvduReN6sevKj1
8vPoA9OOxoRLtF9a1K80A/RlYnfAp8mjDanklkS4Qi7hKwlpG2t2I0yThG2qYZzI7n+KW7ETCn4i
HlEuHQVEzZBRY0/Yrq5gqRFqylH4FH/yZNF1yXsCWdXX/G7aFNqklaiYMPircXa3VKa8GDWpdArQ
arvsNENs5QrdmhTEZWrWbdwNb4XWrPPmru5om0e2ug6hvyQUWCHnA+ztg+4nA0MUpCq8GPYMcgkg
yKgieskVUqa5DkArkJkJbRYp7EwoAK2CRPMDUa51+kBmZ0YMx8Wpe48G7FrZaBzlR0ZJ+43OGVhd
RbmF0XmAeqvq4SKCgssUDqcb06ZSgFwMCxdAzCV5cdkphI6ikrdeQXXmEFz4CrMz4e2yjP8M/m5Q
IN5Q53sPMq9viyP/5Qw/Y5qI0uB76QfJB2swLZ0Pvi/6YP0w9Dwn0H+FzbOZzPWvs9bsgB2fqctC
b+3XALTbxPReWjjCvMNIVEIWomATYGzCksmnSaGHhjILDxYNF1CJnqiI2VWgYl2bTzHk4kC7XKZQ
xtKzrk3YRhfG0VCw4zT3J1vhjyMcZFDU3t6v5S6CkIy99DEx0otQb+7dQuqLLNFvWphKQ2anCMYy
1bvHNLduawVf5lCYVq72GDUVdAa2bTDNcCIjlX6hXWbQwgHJyUVyKBXaGcF4NoG+oTKNDDmcYLlR
kQEOQNLDhZbwoZpPbYYJMFoN2t6CINUhSVsy1nPI0qFHzp/Ti9FvCQ6br1uFoLp5dTJhUkfJJeuh
luTQqmRovKSEt1mVvW+hWRuLtAfoVmFGDz20qw31SqRTxiQabHob3AUuNoWPFQqUnSFmAwMXCQRt
oVDaBqY2KtMjLUkvI6ytr1xuZB8sBCEXywQe1+rjTQGfCyR+jOF1Px7J/55N1Cjz384mdfFaf4l/
5SdVP/3tfCKsT8JUpwyfgevjPPHnjIbVVEcltHS1uGM3+Of5xObfcAihu56CCsf9PqrM/ERMggqH
sR0OPVgl/tGMZqgZ7PsDCuQN5xzHtTmdYHfVf5rRfEoJpc/ld6mlnoHIQPKtRzrA3lFpuP1HMG5b
tTU86qQRmIskbrMqGaomucegwNbrI163qEnapd0tpBEO22p/DaBKGG/HjKoa78ZqJqcXB2Bi8A36
LcOX+icWUOlHuC8DZE3Sb/sR++u1BMnXdkuoVKFhMVnM4Zzc5QhX9/jyEwMVU59uI+ERBGUkSbSR
FDfOJcPcjsgnUkrszn0oRK9BZ7Mde5DsIEjLsuU8La0CR/tSa6oCdEoirKW9fDbzKnnWbGnvABaw
kYo+C3DRi9BbZF4Sn+aGlSIWzjkPl17sBEu/NHAO6vkyN5MOasnNL12n6G9yplJyvlMca7Fb9DvU
KZssgsp7McjVmllA+uXM06pzxoXrxba7TKg9vtEEpXTLuc3jHTHp8+fc0PBChdbUFMtJ5yFIFKhv
J/jjLLMDvvd6s93aNX8QlBlcac+AzEKsU/auaysRXVSsCVEm95gMY4KBWJUO5jz7Oz9E5l5Psg63
LqET103dJy+mXzTXvtu4mCUdwYjI8HlH6umlbzaS9YvGp3lVaGGvr8NGrfXCoOyqfWSILjh7sZE8
p0zRd8h8GQktjmrGHAo9znb6R2mm5qkCzYrT23jI3dga3p3BC999fEVb4PQA+DyioDNWXZ2NRqtD
rsEepV7cPEWmkPW5wnPPI6pd/HvnYvzBbMWs+vd3rlX8Hv7CBK9+8I+blvNJ9xhbVMai7oImfCcs
ucxb2NnZOPiUYSs56ttQZX5iraHGrT/nrW8meIPoLJLSkYJYUfzTqepXwhLMJfgTKV18Jdmi/DhV
xXzrm4ilxQnULMfZQ0Bg2C47x04PeczFC5DQz25NUK0uDawBBSWoXRmswqjg3Idh/TWNVM0IzeZ6
9ZK4mRBXbOkl6/GeHeKi6Qv/nJftfAjNLov3mAiMO1IDNHsvGr3WFr6vtec8MINDOjk6DSJpmojb
2GWxeuR2lTWf/SJ0hlNtytq+Zhzb9qQMv7NexMVbxB1jiuV1hP+qxG//I/y7raZ2b2UGkwitHem8
DpQyNluUzSKoRPrRUMpZXVUJ1lycY+to9KtlXdXtutOn+Gi3E5G/wSw54/iB/9o1eJOJnwlAM1yL
EynSRHcVGfYr9NgLMPfnxOH0CKSVL6Vjv8s2fyctTJDfklfWF3xOGEtA16tw2Bezbm/aVOteBiiO
RW/ohNoMKS2Onk9bX8t59FFoRFj46RB8HmN8BhRVGPtIC6ILEqvzXSpq9xJ9aiTIXVZbC8RsWfd8
rfO0GJe2J2Hm2NQRKUDPR9TIlYOcQpldQIRBfvQ6v1zaQc2+wLbnfWohuFESzITpR1s3rvJFHRop
hlovQUJDO3JpeZWe/04wsrb1+nmXCQ6DqIPbKRhwqDR5uggDnM6NNT5ZkUWb5jBTGEl3byl8EG96
hdqoHi5Tc2QBHhFR4mcqpRgejLW0NM56mKa3KJTmTeE4xXuiW/Uhr+LiEd92jW5VfSlYrPzWofbv
ecv6+7sWw1Q8lR03qIJrafoTz1I/9+2mhdxjwceiXHOk+i0N6g8lyPzEGYr7GcoOgrRaxv5+07IM
GCw0Gl3lSOEXtTj//H7TsvRPHymxHkHrOncZtJt/ooZ/QHrfn7Q4t3vKFatCRRDlHW6q3wODBKyT
7FDTbTLWurspemtYWNLCD2cNu8glhayfIFwI2dHPvAn9qNMOSoYqvgvcfHr5FBMVfWIXrQq5zOo2
6RxrZ49dczmkgfwi2yDfuhncT5S5TEAsIeOl9DVsmLnQxqumztsz2aLWs6ZTZywCMkuWQSBwsRRB
cZmG0v/iEVU3jZlNJ4zQDgbZoNuZG+x96032c9azUB0MiovbJnL3aVfw3HY7UkyFTdaT2em4PM3G
eC/tLnsiZaTYhXbjr4haa157Mr/WTL+QMbU/bN2Ecoku6uX1wNYrY57dhHEoVz3zL1OyBv7+GZ9X
ZB0F6DPlK22Zdlsxt532boW+KhG0Mipiq6Ap6rMbSb7xIY3ht1HiqzalriGIpzVRnS49n/U4QQkW
W118qxgoyAjt5aCtbMwDBCRqBdoXd+TpDRtfhb6E2uRXwfjsUMH0yqHXLhcacUKbMHLsw9SRJdUO
5fxq2ja0UQEofwwHWKk4FP42kH34xpUU0/M1z69BE83vTjw+1TQJF2F80FwWq7lw+uVgM9hqcgjZ
GYpu2qaTpx1DQWtMWo70Nbb/x96ZNLdxbFH6r7zofTlqyJo6unuBwgyCAEeR3FRIHGqe5/r1/aVk
2RStp9eOeIteOLyxLAOFoZB5895zvkNs2GLMCtpo0RBE6yZrCWWsehR3ZVJ9EnbE3NvV7oykCrck
ijJykGR206nbrRU31o0TltmuVZD/0Rq0Ltks1GWmSwi43prFrY8l5BVzh/tFsQdlb6QtoPcxO7Eh
EWPd9uOmVxiyw8CuoO/ioyzfbKVA9VX6+TXUJAm2mq2nAC3Lcnbt+G70k/jCBp4NdpZ6WgM84w0z
/ZomAaowd6Ny4OYNPMOWuUdB7T8gnh3ucqJeV10xRjcKppBz2KORyTkawZ4XoicWoGGE0VPPtqtm
NBvSs6eBYwhk+a3e66+uxSaf0tQYB+MK6QPeFEKttNeyKOd1FanNwi0bSUanD/hPBfmtgkS8+usK
cs1s8jlqnn9WRfLgPxZkHQ0MimVcF7alfT3EvluQNQpL25XDRgwBfy7IBlkauguN2/3zUd+rSBJ5
XIOURQz9fx+lJGvEH5ZjLs9+YfIPTwrz9cfl2CSq1on9ej7N7afK8dFa/H7GeB7/Z/BKAlU6BUX+
fkokn+HPK6Dx4VlVB8u10F1O1uJDlQr0yyrH0tBOzagsanVtptGiMV/6fvvuC/jJdX58J3+9Dnvi
+42lUAgJryNTO5kIMbT6YrBffn0BSYf45Tv5MMUItCrXO85jJ320F724s903wt88VyF+qMeNSxBy
/1h22y46tyCatOiVY3kQnPUCWutNQB+4rQ6WGawc6DiBABl1MyACGYm++PUrlSeTX75Sbqz3n4UR
KX6LMoHPwlhxYIcI/qkjg7zQxGnAoUqKARl1rGQ6e0eycKzI+/ULkMzJv7wATWN7V/n6aap8GA2S
Oqy1vWpPJ6o/4jI0t04vEkwKrTeV+JE9N4Y6uIsd0FNjszC74VpLB4szMwllvarMXo24d6GXnYr1
M1D3AwS8epNmRJUY+8FXoUzqSqzdjUYWb4zEhTvkk6WRx/GKhLJdyQwCK+2ajYTG/LQJ51NvRass
AFSAwAXW0AZf3TnTz1jGgHA9NMiwg+a2CZyj0aZQcaxlzwxTJ5yMHQ6VMAEHcblMzFsYS9XSMhjh
EJkUTZrXYdO21Ww1lNupemhidEUKAp0hP2ituAJjHo/ZpsevcpeZwJ2M2VgV7m0rrCVEdk5aoxyk
BwKnUUVOo5MRK5ikj0yowccyzXVNv1kmgfgPZqev9pU/f5ZSJ//DD1+WkO9vkSFicNuOzXxSN8bW
380X7SdjgyH61Cy0i3bLmWoF2sib1oa3p6ZfF8vxUdkl63ajbqwjeZjH/3DL/OSOeb9M0AZ8/3pE
mnZ2Jm/ZItkVVBTDsm4WSNHVbxvWv12OfnZnvr/OhwXPibI5DRksnBQqoNvxpQo8YrkQ/9DR+vU7
0uRN/udH/G1Fev8j+NhU5H+uDTfSTyGDzTPm/G70AO4PDY0pLzihQP71BX+2AiKEoZNJuAONiQ9f
aWZl6KRITT8NxFjn85deOf/6Aj9bAN9f4MNnx/iOfl6g66emX3aUfYPiMen7D+/iP13kwyrrjq5F
KCoXcfvDXO1b61a3nn79Pn62Jb1/Hx+Wx4m9Gl2GqZ+QmYLexhViXbvxpRuO397Lf/ukeoye66Ip
3tr/JZ/5uSinmiTi9v/8+Mfm25/ZdaVv54c/rL4eCK+613q6fm26lId++0HI//P/9S9/P1beTuXr
//4fn18QoTI6b+voudX/euSU2Md/Xx49dl8+//wxf1RFmjxxcgKk/pER4nwFf1RFCBaw2kqmEj3w
r7Em33troCcJ/GIcACb5w0DAgagEAAF20jc1w9+KHDTUH3+7cnm0DZJTsOcxfuA4/eFWT9u6Vcdi
VE9tXDz4bm5urMRQDrrSAXzEOX0FbKbYMp12L2XWxbpAAOu1WATqgviFIR/p5uJvuajruVsIJ5Fz
YGvTD1DGnLE81kBIyh5LUOs8az3DctIGAdJ2Ekwz7FzfWcPFUZdlFGywC6SL3AWLaA/ibsjrrYjC
/LYKAhz5ZflMJ/lQdOVdrYFrFZkRwcyontNJZuk2ImcnGrYjOSMeCB60/SweGy0W4qwY1sG3BnfV
frUCDIqP2hF7QIpPYMIvgO/m2c+IVAWfS9dbmgocDIULBA7XLXN1WD0IqjNpQkgN4I8+M8+lH1nC
wwPPAu5PZw6b9arGx9DgZwjN6tKRBocyTB4i3bhtC7dcKnggSsiulCnBXY2QOgI931lYoLNZ2/r4
J1RppIjDcEte2FWucrAiOCXDcRHP7q2GAhhnAGaMWldv0czBUeNLaElZ8lJp3eCU93mSZo4GVwdH
4gSvAgnEFWSoQahnR1pAQj+6ilzQREo2oHqdJhUgVF6+qXW5V6380pmjQz8Vwc6Im+tOhkSNpkrH
os4gEllEOlspiSVlSk4ip1Va9ZzJc1dHw+wyjiFqtmD8HuWNc3L1ctqAWcJEYsU7yCLuMWjqV73q
8Z7MdnCldIBu58iEMdcnl9Wkv6UYVEjetUDah7G0baGpo/MpaVOJGSxbk+y2PM3LPZnBp5CEEU9N
ndOgFAQrWxxzg6l4yxJhMCWV6CD9kjNh7nUGpUUboe7WCE3Gs6ls4rEXJKZ3T1YZ3kNQ6fAMuB66
D3KgdbJekbvpizQnF89p5ns7mqRT5Qv80U1H63ovcuVKc8o3gSezCyF6VKPj5YlVe2pbM0hLq11p
ZfuxNVciME6TlpyY48iGoktjoog/qYN/Z2YM2tuENmeo2HdkhJi8bJ3IXL1ZKE6Hp6eCiNip6nU2
tXsV9EuVxNdRBFy7Sx8Htf4CXrgAIILXbGr6S6dOOrjXA35UNT+aDh+uKZQ9eEGxsVR4DR0Y6mUe
2BcIvp8dfTaWTTt9Kg2dPpRWrssGEysN8Go5jf0u8WfV63P1ckiHLyGf9UriGr3cApRR6GTc5eXR
BfFsOdC+aAIRX+c/t+qwtmt6s0o6VB7mtwKwF5axKam8yU0TL5/Ml3Ywj0Olg3t24ovKr3XIPRkh
Arq+oQ385MTVIcvyOy2Z7zWlueL1oZSU8vzBPdZjni55wctg7gdglMnRqUY6aLN6jYXoaWrd8kTf
hzCjURn3SjIpuyIb0PLQJOsTtP50k8IyuXasnFhmcNYgPA2ZIm7zLHMdmltccavar/AGGkq6yzLI
jip0XKIeLa/SGkIfChtfW8FNPKG38QDqnuKCRAh3KNKlH6YY94LxKkbCi9VOfXZm7Xer8397o928
FpeA+JsfN9b/n/dZ2aT99/uslAdedFHzr9OXqCl/1ojg4d+3XMDNyANx2rqINUkDoHx8t+UaAtMM
W7JKYt2PM3g2QFoT/IVD61jKB783IsRvdHJ5mEoIzLch2Pey4/ytDKZi+bd1+Y/FKxsuliKgzq7g
LsBW83VC/87RX+toYNnygxMsk0WjHyLxu4T031/BkgX3u4IcG5JjEJOAYhWZFKrvD3VfphWqW6bT
eAlsbMccyF0D94jrtZ2Nx9EYrWFp51OzmTm0ruCTorXTWgf8JkRBchBb1zrate02TL396tjVilPh
QzSs6mhZijquBDrHYKmWGupA/HWrgqyPEoJ+BmAYgPFmRACwqQEwrQbN0jZ1KKpVUwwcYK0SlW5v
nWMSfTdlQqpxV5APECkB2UxBXcTKJs8ARtzk9Ry+Zczz18Y33InT4DglHldiUNyUP620UqBTDIVk
pbRfuSllNVZX7ciriKoZ0Ktm0soNH4xSO4RjCD8X59AigVtm9NUGNeTF0Fnawm6VS5rT92Zi3FZu
c1PjZAry/t4yM377VlUskkhcVDVeC1FdAAtDyR0ksOW6CKmDdSDPHSA0q0kfFBhUkUSotB7mYtrX
pvpYxjEgtdSWa391qqFXbwnGuuhG9UtoJdMhLA3bEz5GECfVXsOUhWRy3dWEJnDRcqaifwL8uB1H
c5Mb/nwg7v3Q+8pmJNq9BTi9yVKzXpLfRtlTrqohOmZMqVa+AXwwCEtigeqdX0fXVCUpeT5mvgyU
ZFfPMhm00XZ5M1K5hNlNUbeH0BgHlJKq9Tz1SeNNdTB4FKjrseRWxbe1Eigy2J/yZUYW2FhWx0GA
u9TikI+VAR6uOXjQQWzemGIqQBALKHM53sbcd3WiLwWztak9VlavoGoHaUd+xaZI1VdhdS/o0h24
r1Z2MNyMNniYmNFVmTsZYjIRmex16JxsBhUus9dN46jPiRLuZouICs2+axn8paFvLRyMpH6CWcvQ
LrAPX/U5Xk0SD2D0riR+J7OGZAvWbuMMrb6sDD54M7e3jdp/YuBAgBm1hu26T+hcjoWKUS6qxz3d
w/PMk/YaMjgcrrPQgJIrn/VGe1WUcUemxIXhK1vXvh/9p8KZ97C1nLUZB6vaNu+qWUPVOX7pqcq6
lqh5AXjI1Kdz4MeaZ+hEzuOEf8Rz+2igVl7Wg3bhijzwBnGi3T9lIvTCuTMoAKs16PVbZ2zuRNKv
xoDDthkGZ9GjnAUVj6Cih71Ia4FgbLbOXrsvlfDWcbI7pZQ5tuzRQfmm2+O+cpX9OKpE4sXWninz
JrXSbuHYJLQVGiLOTrTXYoghUI8HM1afCCeB3WTQ1IQbGq51LGaXmRiT7ahk+mPBpOWhcYqoJq1u
8olB9ZPr0bebxTim2kpARcfp3YbLSpHMulRG3bYAFStdUZcDP4uLvjSjy07MjGfSuvcxWJWW/IVp
SEkXlUuQiFP5zpfZghUVwgFXGt1a9Y116Yek+/hp2S9a4TbczIbMYurSAyMW8od187pVVUwG1VAt
g750FpoWH6CZ3WRlAqxwKMpFXzZYp13xYFkALK1+WXXKvLTHJt874BOPfongd5xh0idW8UUEODCs
agr5ySEvFuatGpTUjfFEZOEUXMQZXsMp8a8gSH3pRteLfUAAMTwGX1FvMFs/Gkb5xHQQGVO87eP2
DVvXKTXp0AU+BSje8Uc97tYgDp8KbFad0wA51yit/EH6AZvcWcRy0uKby4mxH5zCVVzpL5nVjpsS
2Fec94+94UMDbOF7Rt1T04p1WfM1J5xyfPuTljf3Zpd/MrUiW7hjfDOm00XuDtu2QvCsDPGnIJx2
0cBPdByPPaPGIKOVq6bWddvOJ3JHHsfQvCxi4Tmi/zTIuKUBWpYNfLcXLosFJwu+jVVuJU9zFTGW
ia0NbUATVRh20taJAKKPiBogOnuxad3g+uATTBFoB7l9C89g3xqgr5tIJcg6PFQ+rTIF0gVcxnZb
xMEnc8JIid5za2bGiuVmqXQjBE3efRbaF6Bbt3US7LXWfHTLHsNb4ZVOcmKYvEU1ypjJJ5NHTz4r
DpPBIdp2MEUXVed/Vttkz2e9jOYRW7vu7kU3XTWlyssUzT5WlW1tWk8+Gs0ehL1o+xsfEiyOgHlN
CBBJXFF4VsX45qs4XIivfVJFTA93jo6umW4qv7rN8nZeJnmx7UkE3jpuNkGGlLx5HZpn9GT5BQRy
wrh1vWjXeaZqi0KI4Uw7IFw4YFlXiVM/5IDE14rqnFRqT47hVXVoNMId2nDM1piHn6MUgAXZYMrD
UFrcLwjhVpOKqMwQUfoyEtiy1I0s5HQ46ceBPM23d/XZ72XP+2nIh+6WZH0JgxQMqhASmTTrQ5sT
06NGJe8rl3EMFvI+cb8I8+/acj5cQlZa7yqpibvYSgh9uVQl1d8+deVpjP9DJ/BDB+33t2GpNBkB
TJvSxPL+GrreTdngRsFJHdjlbaZHYPRuyXr+9aclMU4/Fmx0eyhamQxYulSH/niZoIgnw0764NQh
265ixHGgJJXqrhPngfO61UDTNL+hpf45SkhRxy+PEu3nf3np5/onnTv50O/HCAn5QRaH8NaUchDp
qfzjGMGoE/wbkjQTRdrXaOHvnTs8mg5ZkpT5grbaV5Pm92MEIAD0KDpUAdX41gr8cGz45THiQ9dd
HiSkQUjF0IT0AEPoBzSYrQVamtZmcdId/IQ47iSXZ5pQ/cMt0cdA2w24tFP8JXmWI8Sl7HzM8J5Q
IawdpOsFnhQbbWdsKqdZ8VeqyKhUY7u4SKWRJY7q+0kVD45Lf85pZPKW0q563C/fQKLtjDJBmmKK
2L4aA6AZi3qOS3UFnBK2omNyMNCIY51lLiuxSP0m5ITsJaaDF0ptQR4T5DrHNZEKAZhISO2zX1Bc
kAOy7WT+q0IQ7DiBh5wmKDiW25jLcCS6pe/Vu14GyMbTatBJlG1dkXjW15RZ4mbBh4cc73neSmbR
dj38GrjJDAPz+NmNXGc1yezaDgDCIiXOds6Fv0tlwq2ajasiJwtRLYz0YJrKcAHoHFcREcCeqOM7
lGfsQinG/DqIT+SPeTI0dzHMeAOs7pZTh4VaubqTp7sSXMECf8qFIHF+bVR+hzsr75a5kpbUDGrl
uTLNLKm6Y1nGJficIl3PvUISl7mH+kbOSU+vXg4xB8Zn86BtbaOiAkuil14zjkE+X8561hM8Qs+r
i+uHtMUP1BUdx5XyogudeFGq+F0DGlzKjKytkGnKTcFuVLaxsUx1axe31lXiTyElRzMsiZhfVbRF
1jTVnisdnqmuNlBlhpWolA34iAuADict7Q4GXTUvE80BgQr81K45V5HVLiA5aJ5K7bUS7IQNBWwT
d5uqMo62GTJRcwvFgyVQIA/Ml0mpbOpYYVxUNMcZSefCJBYDYrV1za5y5Pwq+c79SKtX2J4OtXlh
FDP2T9EyV0pUQHIDJT3DzNGFv9fH+TEQ/tNU9dM6VZxNwCkbXY16Lyo0n0ZlwwKMl1PVWksnCq4C
amxtzJZzMF5WjftC8wx3GygC3K/WLqjonc6WedF2zSkqmkq5Kgo7nV/RSyVbO8uQPpb3iR9UHpLr
QxPN4ph3MpO0dR+LRL1uzRq0wIRgE2frHKzBFOAyGsgGV9a1qh+KNLyMimI/xs1lXqTnPqcshi9A
CJvfDTvLN9842nQx9SktvKjzbYQveT/f6NZ8BDZM+EYaDcioTGKbDIvrik2ZYsSz52YFzmg7zMa5
Nh8bhYIu69y73NXw0ASHWie/J2vN3RCScF/O527Wt34fEWZsdlcsdosafpGum9irI9y2fuWfDfDt
2B04CHN2KbroGtSJDDm8mcsRp0DNySQcIyqWuuWHkpEx4waascayG62NxNrg2iX7hoKEmiZ0iMNJ
OZh33DmkF6D6J/yKJnh2JnLlwRb5W1GrL5mjQ4At0vsZCa+pJYQtViD4TQPHjirpD5AxvjiSB0EW
6BEKLMuEqp4zyYyA0KSdBjASKMIgXACW6CRhIrPGa0MyJwzgExS+60qoDxNQCgc4hSspFZnkVTgC
cgVOtU+5ZFmQebgunWnTA7lQy/rsAr1QsevNkoJhgsOIJReDQJwt0VHuHsnwncNwgyv3HhOeW01S
NULJ15grSBulZG5Uin4cJYXDBsdhguUgnybC4gepw4YBq0t2RyQpHiY4D94r9XJCGoNLSEQomR+t
pH8AulxhJHgL3OcIOEgDJCSRtBCdnyCg23TB6OJMTuRalWQRXzJGSkkb6SV3ZOjjTShJJJFkkkzA
SSKezpG0EtPEyQ6+hB58gr4foomQbBO+UCgn+ngtm7BaVuLykCQU+PJbcLgct6lMd8yRPF9Bzg8J
jEYaXgj7Ca9hRGoGtBaJWQnEuFbC6kaHv8L0s/ZQ2XXA0zgwuVBaEj0EsdYYG4S3OCeqiqkBpkBd
L286GC9Cwl4Uo9p00F/MpLzk7JbuSrgwQTteq1OxIrRjovy1DwUEGUUDJRPOU7ceoMskLlRj8ryv
OB/EhNLiqvxaRvxTTxlUFr+sp/51/Azs6q9zUPnAP6oplLcO5F+wPXRSvxIq3lVTtEExJNku9LIf
jFH2b5ifdCanUmAjwUp/NmXt35CUIbihLv+vqMNcHYu4qTNWtUlr+bH+brqhqzJrGk5qca4DsZpi
++9V+KjDaOqSjmPyDnXXFB9astZgE3ttd92pETEH5XtFPbnQ5sVW8ynxMQev3n0JPzl/6dKF9v5M
8ZcrfqgPdYy1Eae+DqRzh0r2K/Zm+orAKSQNZ6gLZ9+3ZnlpSVZOY62teKpWSGF9c9VmLT0FydZh
SdR3llx2J7kAaw2QKMMJL0zWZuZ7iVeyWvdK8uayepNBcS7kcm4XpKai+mSJl4u9IZf9Wm4AmdwK
BHtCIzcH07QN0BNRsfGnMWdwwyZiy+0EBwIscx2V6EASGDuO0/cHV25BdtRfKOxJVGDsY74jLZrt
Ukys/9Zw5ZO8Q5fF2BaFdu7Z4XTH2uUqBnCCsQ8Fe2BnKHe13BT7/KlnjxzZK3u5aWoEWhEFvhGl
sw/lthpaxQBCn63WD6dj0dnzjd3iXMOshlXrhhx0a2sh8YoZb24r0mjaq/mr5qvL6rE4pUiZWtrz
l3k2YzVrOPTTQ6+wdzoXFl4RwjQu8GvvxgTfiOuTj5FcTrP1iXRXS85WIZMY7KF69CxM9SVVCnM1
mOI4lmLvE0/XJ+VF6w8rMoF2ZPOd1bnycp++xThdEOJ7wYIMlmnOVC8wh0PTq58qsriFwJOf5fMd
cY/Bws+m5DLq8nOetBvSDy6TOdmrRWIvxtIitaSt6YmM1OuQW9SFAEXbxPZd1YLsiBU1WOtZCXuz
G1qKFr25cqJqukgJZVs3jn5Isxfk6CcROtdNxwBdw8FD1Ea91kgl8NPo3OXKzdDn6xCz7YKMtpUT
udho2xc7xBmiWfGVTnKC22Ud1YVG4okUkk1XbVdwPGb3tQaxGep+rWLnaGlxZJq6LIrihoL+nPkV
uYwjtu42TfrrcQqvLV/b1XA/AT49iCRnQmnWpCwoSJai+i0HXQDqbwP0FD8OQgTY37Sc+1d1CA45
eSSVYJbHCkaGDUcFw4gYnAxMhoMz55ujMONtZWabUTVXqc3YefQPTVPQK0IPMbcyXuSSjslSx07M
QnE1YeaHVoBe2RD+unKNe1ETXs4vxKsSOAe5mU7bhFDOXZ1SgEQB6JRJ2SfNfItNj3zotL2M6uIm
7tVlHNMh6AgzZhPWP7td/Dm2nWNRpfGCGILEG5p6WvjNQP6v3zvbfzY9lmpTFXR6frHphZ+b9mf9
Ax71x46nQQuEGIOEyyRgVEKC/9jxjN9UGMHMALkQ2w6bwXeDivYbQeac5yVNkK1P5Qn/NKgACDAs
15GRszz8bwGEzb8KI9H88CwADU28bAxLf9zzdHnxMq3SswpmDrlAhyBSDPfMxYJNWymnMmQNpno7
JikD+3pyttUUlNiF0Rz0o/PKQYCepnvLj4nMCA1R52S4JfIJQHuOsXXSbm21/iojBHTgpJYRGYKQ
jmxMQ3tsTFQbETeyQRO4GSls7fhIMMSrHYerwTVWrQJtc9JKKHXiGTMPjXWXYLWmSDwlyrptXNbb
2nUPDSOWQjfXM6kghD1DFTV7AjSKO5tNddDDjimWiNDF6p9TNNnMZB9C0i7Wtu93XknK+aaGdeph
gSQW3Wr25sjI0SGNttUZ5xjxKgnjGyDEJUHdHIT7EmkOpJJF45TrwZLEU17cwbB13ZudAY5ajokH
HN3JNdIXPWIAN+kICKOAE4wy+bckrkJl68almpOUmDfxMRFQqiL8bCvy41IvLG1kuGMxAapzVoky
7UOzZWg3pHecKRVMZzlVd3EV1gzdcsfda71C6ozZHt1cv604QNIJumInVVadnKXQvtyos/OGKYjZ
np5fjSHtIeG4j3GsXZOzC0bOL2xqdSMjHc64nbPoMSEKaEg5SoFhoMsekaoFZCKu1DcZ37aF6QqI
IeqmVdhYGKh9gzi98FMY8/qDCYbWDJXOs4jn6CymK2VuCJAb3WsRJzulSZdDUC9E1IB4ajXaLhHX
UVFHT8jPAFCGDyTRX4+1GL3CweozG6R1BHayqHKQu+0ETHmIeVxqtC5HkURssqI7FYXDOMPne2/o
gGhjtVCz8lHroos2ji7qiMgVJdCYUVqc14Sec+BoCNnLCL5dxG258Y3iEgcl8UWmvUuVBuF6E12q
cfFYxVW0rlLGj+SlLUeRs/PwQoce8ZeW9ttKU8+63nilOUjjI6bNoNs1eXnXKf2maHKQDcUavg4M
2yxqvKDp3ZWQUh0rDemsqf0DExK8OTqpsuNmiEpihfMKKZxVnIhdZdJhnwuKHC9x+xsnSdctsVXz
ZdsffSVaT6q7C8b8pJn5We/9LWOkk4J2a9lP8Fkk6bMjeIE9c6a/Q5/QAkfJDRr5Htoznx6ZxUfO
k+aZWXqOpWc0p9juMrV/C5MxWY6ZYa90uecYSfNljBkYFM6bHY/drsD4Q/PHdTdabu5CjdnLDHeE
8xoFyQIN3bhheAhddDR8r7DDYe0qDiUNo8pgDOF6YyFaZ7146UzmU12YvBRG/wA74BknV7xCWENW
hDGcp47+GGZOAmlbq12xHPWGx/iK9Bk8Xe2BtQeSjYNALhqrSl/kWbszc7bptcEM0bzr1cRxNqGo
GdoSj8xvqcq1Bcmp9UxKfTBqKydXBIK2HhPyVsB4IyjOMOfokiS0qbtx1Uxrbwa3VoxDN3bFYTDh
8TzUs9D7U9KW2yLg0F3G1EeFSMQ6iogPqtT5s1YH1w1QJK9Nxr0QebeulXrcOIp1MO0RQhLalUWX
Ws9VUTSUWxbUkFg8JIrleGHPKF3Dc7U3Cm7mJHfwL+BcpE1TPJW++AymSF+2DjJ8YyZy1g1pOAAt
oks0MApWYe3VbT16UzIeJxJjx8iN1/TcjiKvrxS/O2RO8UTbB+SLQaVEDHFDt5aOkEkuojHumf+Z
6sB00C4/RyRGWRJk1eomYD/MPwugDTeqHl/6DXFN8fSYhvrbrKk8S2C+JX12DxRgqcx7fRrjpTCZ
yQf1dSI702qoMhMmzuuQhvZRTVJ16Y7F5yGYdyEAFTD0I2orECcLbsZLy07mJQ36YKUqyhX9en05
ELtImdsdZ3XiTDD6Hp9CubVzWm0NI/uNIXrWdnDTthvZYNaZ0zGIum2T5WwGn/Qay7UjYn8ZKiBw
ncQduDh+TBcYvTG7mjePkgo/EOY9OBTy2VgOhPQOF6XT6gskDgFuS/sUDfmRBgcsutI/ucggmqwB
pdl+ttxhWqFqvJmQmwD8BKbru2wgMHbu/K5rlt2Qf6L5vo8VIqPtbn7oKjck+swS3AMztHVVV7y6
aF8b171jgV6rJaaSLJQJ7sbWiIs75qMbJbJHrw/UXTUY594pr12z+BKx0S1w0F8KFZWBye+up729
8Wet9ky1Jm6yZ0toh2ABvCxGY5HsXHOS0pXcI5q82jRmNHiRaE5J1J2pRNa53t73mbbFhQgJtdO5
ATsxrhIVSqOqORWNUBKtlIC/telpLa2k35DDpW0sznw7TJmuh3f/pJZNzPys3RMpDjHYolXWjHcp
bCekLmyCLFlrJZqDjTJoBIa5lofvj4kCvzRskvrZ0khpUxrM+m2uZrtZJ8Kgx8+KIqHyiaY0dkJE
57CLOViTTK/knFpY5FjgzGE7Zzo/CdM563jQiYMysqVVjM94cD6Rs3Nqcvt5FsbzaKlr3IMPRRI8
FEFpLVsj2vlZ+aAWztYQ2GE51hgxcdr6lKA+DQ96PXwOcPt3NtbEBHxAF13hkCR4oVVvciEXccUk
9ZGQ03/K7m9lN12MX5Td0Wv907Edj/qj7FYR3MPggfgHD/UjIZBvWUdur+HO/jrR+z62c38DvUOs
OJq5r55xnvD72M79jSehOWTTjGBAy5ztb4zt9K82wD9HvbIBZOs2TSBGh6qu40X8seyejTAL9SLC
9e2oNGazGQme9lQELzD9ZwI9kEDnF4QpkstJ4sHFUPLfa90+WcD/O0id6F+uU0IBqMRQU5ES0CTh
Q16bm4o2sJE7x1LmCTT2I6J/6DgEDcwEDrQmUhyaqT1rSHdXjvktxjQAf66aelXFNI00tUefCAOL
KANzilcZ0QYzMbcaUQe6UBAAEn4QmnSCZRpCMkfbhpbZIiYoQQvs7SCTE0TSyn7KI9Cyu9kpLtwY
ciCr+CIhdEFh1avq7j6BwLcQxDLUrrKeiWmIXGpM3tmmdIn3oLRiPtNahCiz49nEPLQRgweFRSrI
xcYmCKJueoe61rmvBg4mEsa2mztyI8gcPcRqilJjULZErULVjmofLA8iMzHudE3GT1jXQ9ldT21W
36UEVKQyqcKqnH1AdIWamQes9wAy1PFIGqIJVdVWViaBF22vxFBHu4MgCgNuBpIkwjEm7QV921NA
ZMbEwBP+Ks5wzgFPiczVSBl8EQ33ath0K9AX3H1FIA0qaRwKp/5W5nNMA0kd6jhtY6I7HGdYlaiV
yQOm8pHpHsO3pA9Se4n9aMcWrq5vx8WmNelQofNCnD6LUm13hcMAtbVdJql6izypKtSaui0SQIKa
hkr5c9pXAwM/U29Zo1USNEeGIWQ860W9BBBOQ5+JANumC+itgqFdGM95WFcLxrD60hAYFRCk8G8D
eq25ebb8jpFEUr3hjbQo3Rmt0eha2NrUE6WXXNtzOR2wnlwqoe54LYnSJHdTayrhQzqKx9wZSY4Z
+5uyS0KcpaRfisp8icvmjZLhdW7pWfR2eh9YglsBAJ/aEz2foJetcyVaxUNrrKCKnEdCL5aGm2xF
WD86idmu4fylhGQ5j1PLBAOuLlote3ihJSVBnKTJTxnnhjxqHE+N3eCYBsplAO4AdXywJ8TvRYzQ
tzPuF+aXUO0PVp5v4qK86g3OptTEd6WIyoVVBFJwuACowmxDtT75Evti8l8cbfgUzNVV5KfeJJTm
Ymgec9NsMI4oxQGq1hwteapxQRDIUqFvCGabklwJG9jEI0C6waK/FlbXnbRiJGF4mPFmzHg0Rrwa
FqR6wkh6DrPVlNTP/+wrX/cV85f7yj2gke5nG4t82PeNBcY2ACRWbFhgCE2lqPp7PwfFOa0/JhEm
3Ldvw43vG4v4DYynTqtHuP+XvfPqbSNL0/Bfacx9CZXDxSywTIqkktWyfFOggivnXL9+n6NgK9Du
7qWA5QLDuRi0ZZfIw3POl97AVfdoJ/ESWLQ9GFyqCQFLDDLEj/5BYHmLtyKs4ElogCcnvCkGukvv
uv29jGZXWabNaiQ34Z4Vlz3le/IXpEVmLG/GCo+/CDMLHclwk/glv+fTKrhAFCZmLiu5MZyryMce
CjuheBgPbCIy1gp12uiHAOzGS0aIdAdMRC5D2/Ju8iyEBk0j51ixhK6FVRr9mT9oF9qQtWSOg2dV
2KGGlfat7QvTRva+aFuE7DN91qJsODFRmYXzGTMsCfI8U+dZF+N2DcwT8bigctOvQTQ4c8MeS3lW
pXdGrHcrS8/jU70hh54qeRQPi8zttWlMfJViQOkMFLpMO5VbxYhO2jg8LWtQoZi99VPfOdMU+cGo
8vu08BZIaHyxQOyleNMbkpntq3QYsMII5g63uZNQ5yaH7jAUMy1KsJMvlVk8FN99279gLrBS1Px7
o7WXseLBoQZOcmNFjIUd8BlLycpLUAiGeRQHDgE8QeFuhApEIq1918MK/wHXl1dpjSA60Gsod7Fk
IF0iSNzOqkoBb4yq3c68YFT369S6GhTpa6z6xSwLfQaode2pxFjGMGwLF9ETUo85bUgewYRYgbx0
Veq11s9MO/UvKq+leWQpJbFeRi8pDgZWETTipIqacqZLJR0KnC8KRJuOfAlD7lc53abRFYfs1eTq
cYuJzig0CViJGtv6bYpUDCWkP8ZXK5Ra1zRKlEtGLxMaVdP6ID0g6SdYzZG/mZfzdGIc6QttDoZh
+pcEXTGT+5mqoeGoWRaNUfSmGabpiIu9fR8IwXeNhzXVylW9I1Tf+2nkFe4k73TqQCty5gUGYYxo
TCAViPAuPat0jxS+I1zqaaZZw8pB1Qt21PgNB2VnUakAkuo6X7j2+A1zIljxLnHVHfvrIqZ9oZbF
MLUqwDl951LH+RT3ht/P6avudwoVGuLxhY54xWg4B6NG8QNvSkeWYFKgTYqqHry2JD1AI3eWUa/A
BcvnXeedqJhn0EFgXo91NWz7EMxUW6y63tH2Cy8EFaR5Vx40TyqjZdPbMhj/fF+O2GiWU9CakcPL
33/Fby8RVtYBUIdUBvcl/FbNEbfZK+imMyK7kyduuZJbdA24CACwlciPSYE/xwBNR8jMo/3+o1LY
tKvonL/9Nt/9znffptS3VtlGXrUqPA3ZeDoNjZfNxso60JOGeYlL98MENmaRBhlxBR5JTwecihtg
t5JxkgX2VzlAaQiM0HeXNg/6CEs1M89ld7wzvOJb0gXFrEAV8z8qYMpTTGbi8OMb/GDR+KUBovlA
+H2nAWYIkjbTl3//i5sF9RiEC8n/uCQY/3JRvAnJGvwvDClMxFV/jlg0cw8lGKjVsjjVT9OXl5Bs
7HHeYRTAxtY1CqR/FJK5Nd9sOUPmF6MxJvMeUBqDWfZum8OekouU7vRqjIE29iDxkTPiKEaoL8kt
TJ8yFk1rhJAzdxmUaLwbSldNy7Q9S6rs0MLsCQkZoMBOW8ywsTumwbEcLKDqGbNxCMP3LY2+qZS1
FhNZJnxupy6zUTAFZNObJpVwiZLB55vfcJn46hRYVdi+o2MlK9PwksYFDuISrCGf7B6dQ8vDQhyj
hj8NO/2WD9lV68NAyuoqR4vcxK2wPkyxmaod6dpN4S4BumYSumwj/4Ra5FuVkW/gFHlG9/QuRn90
nvDBGFYixEfxcNQo2U0yyAOypRpDolpkKnEHBL67GtS8nHt1t9B1xqVqiK+k3gUxhZ99X/gILtux
eVLV8ZcuHaOpjfa3EdkX+C3eA947oxhCB4XxFMpfYT13O4TA8vYrhOo7t85u3AIlhyy9Qx+IIWlU
evMmxWqkspIzL3cOAr+a6KH3LVYhmeSxnc86M4qpFbO7TnHoTaF5nQzMwnNVG2cDQtOLoGjLKajh
k7qKsEh0T1IPZbUgLxcDoAG57I48xzkQ3BMkrr8HeviA5scXDbqWq41fE29MZrJQK+NLcmQ45V2H
FYAqhwXA3cI8N9tq6Tv99xin4RmkEcCXrjxtyrCaJLJ6rXvGhV5jC2AH0RfdU783qtkeDnic0NZr
mgV846+JBPcq8ylUDHPR1DBp3KYO9yk1bsBmRAskZzAiEmbomITBbq2NiaxTiozRQrZyaiZb3i9q
P8MVD2ZNk/OtgSbrpiqE8kZnZFNAcDKxJNh3q/w4cJPiaEwib1aGLmZg3XhhxcZ+lxqLptCLqT66
1O9RAAev7pFAG6twFjfsOAM1sqk9somHiu8wUXNv3pXjJaxAfmtqw4hpF67cXI62dhR0TNEsNabP
W7jezIvBu8Gpuquz/quNtwSCjvmtrGQloGR3Wnbwejs5AKRRIlwu+Qcyvp0zyWL4L8vZvjnImBei
iQKz0Dmo/W5AUt1+SMLihLYvZo1VmEPqrw9NbxhmagNn30uwJS0MABhEfHZjMjG1+rZqHMjopYIP
5QigMulN9VhPo3TW057yDmPV8bVZFHXXqo1B/byUKj/4k2Vw61O1tsA4mIGhLUz8E9MvFpoX2Qze
zqghmR9X/hThY+sMYc3APBsKyCVa0Xs3QZPPq5gtNBFqlqu8qhhimbgFUt/KhofAoONd+oUseHZG
fw7x8QisaqDNe6vVjAnu1eOst3EAOGww7AFvEsAImUKcjZNZNWB62sUAXs2+QLJUU79GHXbqS8j3
DfdM7OOAZlp3socg/zQyh5K6HxMwBw3TSDeKeRColvdFrq24ulHd1qPTrsGsh42SmO43aH2+vpRR
6pcmeEg2+X9ao0/hUkDGfh0uL+s1PYsYndePIVP8y5eQiYGK0GAzdeOHsshLyITwoPMjVQdlIER7
CbQvVay9J1uYmCLoyySbG4MfvYRMcHgaQALB9sHWUgXm8A+qWDSC34VMwWqAWkGtiIo6imoiJ3+V
GcLH0qKyj7PThkHyuERB3AhXxNhQndd1Ep8h/9rWU0ivKyMvzoC53+kIV85LNfnSKkD9sT45KdTy
BhzSUVylFwGlWC2psFFDd4l31jLvwRCkVrfvaS3XVRWd+HJ3PYbpgxNU/SRr1apjV2fnhjculAQc
m48oVgMxb6bqwHDiOlwiTDnpAXDMSq1NlVsUuiaYVnjxovNaWzmULa0MjqB11t5+pEhQTOXWMcm8
cy2E6imBu5iYbX5oBVayX1jOkRnbo/5Fc2uwvm7ShVgsOchhnpRhUN2EncvIv9USddE2bThO6yY8
tqrUxGDGMSpmU6UhzZzKLnHpS60WAlGJzvE8odXtAZLvbxtUkyddnF5buYF1AzqfdotLTB6Y69xF
J9nqClQL7LhjYJotAxdyggplEAGTYF6M5MU+iIzMba9U2f1TKsfD2pIuWkZfadsd4o43ayVoUZ2B
kpFJgpGb0zJWwRYE65yOF3pXEsG+WTZWinCnlB/YvsWE1VEu2kY6xHJpDnBtZQteqlaiCN4dYFRx
BLrigATqxHPSVaL2qyYrb+WhunD8+EANzSum4fBALcpB79TEM2VCCXUZ57Qg02AW5/J+Z1QXZc0k
r6fvaerXieBgO/basaujOOy4LBNNRaHqe4pthx6bK61r5gy3QQCOUwVSghtUZ9i83pQVXNDGnuWS
gqGLvxqz5NSGu4H74yoFwVn16vXYZctWDSc6fh18l0yDmXb7/irE5LbSnONRIxLW9VFohPtg676p
Rrigzb3MiR9eZof0boOJZ4GmKbHBSpR92+xPlJYqhBb9quH2HIpwVZo40eAxWI/SleFrh+QHfMNN
NoNKf1gp9sQO7InjFg+OXjH5i6+B01xlso9zhrRwc+MEcYSF2iTgGlqgAINy0unQknkTUydVICUq
J247HgEampZ+feJZCkO5/rjr/cOswtMCcvVDaakXrdNflPjwTlyvNc4B0u0HZuevTFdHsVlNTssY
+7YkipG2C9QMYXcIuWQFfXEqw6noFLZU4+iHMaXUtBDEixwGxgATg740XoXaiQVDoxdUjZ7GcAt9
fqbB4qjDge0HrSPPsdcWRA9Jc7+Balh2ggJiJ80XBKnnmqRZk0jQRFRBGFEeqSOCRCL5DMTzVkrn
qq8sXV2/0AXlBCQmGBBBQ0F49CyEl1LpODAJogoSPhKAdCtcFL2yrGGzwPmYGrBbZHAmc3YH35aq
4kfUwIEBJzpNYcWQJpZTf6jAQOL94UYnGvwZBfhQYharXBBruiK5Q76AL2OUAAXSvyFtYrHg4xix
fZgJgg5qCABhBWmHBkENOKSZZoLQQ9YGthaOTxJA2I5g/dDD/1oLGtAgCEFSMq5Qqln2MIVMQRmS
bLojOTT8PvChW8ArMuEXofJwJJEq2FITL2JkgADidEsqGRrvgp4EBx/5QkFZUgV5CVxKsQib4SQT
xCZTC04jmE6t2ZhT5LK/eKbBfse1LRUu3DBtXUGT8gVhSoM55QgKlSPIVLqgVY2CYAWJO/pP7H+O
/YTJ38R+bo6HckPc51/9iPsEd4pQQcd9jO2Uoq/ivgOqxaHchWiMhuvPuM/sU2HiiegJZbEpK/RM
XuK+vWehe4PsJYKuIqP4R+aRH0tldMh0VUUPRQfSDwngXancqgANCskZTola1UKW4nRewfeIMMiy
3YKxXNgbIHQMSQLGiv5Qh8IY87p9tI6A2ArxscCXjZNeCJLhOwLBD3ksSnN5Gg9atVAVGqUAurOD
vi3yc1Wn0WPqtXSMdZGxX6F95gixHgnVnhReEL238TwJIJ27QtpHyrkuNdR+RiH7kwoBIC9HCijI
OiakNi48DUa00zRRzxFPiw/bBKBxAo5eLpEVkoTAEFiM6lBBRpsLWggQBSgR0TN46FAmypj55UKq
qJRN6TAU8kWeE8d4hCBpJDcU76p64QixIxfVI9KmDgRbM6sEF8dFGYkm/aQQUkm9157LaCclyKQx
fD2msv0Gwnk/FCJLwdip0xTdJd0QwuMoMY25fT8KaaZBiDTZans8CNkmMPTFVGpqjJJwhXPQdoqE
yJOB2pOL6pMlFUv4pF/DgIhgCWGoQEhEdcZwOwbqipkr/wEeJfC9mBGbVthnlWYzhJWadCCn4PdB
jm8ZUsASpclc5rTSrX4Bk52Wen3cKM5CKceH0UY/3LDa47RnrIAgjQ1tn0sybWhH4DGWTGmY5Nic
cBt3qn6dY/nVSIwDCz2ft71qUMk8uJY5hz5UT1XXE04I3xuLpp8VoYNS6yP+2XIdQwBDH7UcTOrH
Qj6AjQm6clzbRYW2LUDUKaospDQ6AxUweYctiJgwzM4bOZEZ3eVYscUQwgoEfxOufS3dbxQTRxzv
GlUaZ1In1bFX1jFJEpAZG3wMumIQLoLIg8M6jPKBFafBPEsqNFs9t0YYzvkTF5UznEeLaVEhXtfZ
jGiLqkcELVjLwwjNv83WVg9aCq1hRg2SOx7Q6GBeXEfRPPd0ck21QYhGGXMQi6jBerV3ablU+ly9
6oGaJMvaha3VpCKI96OEm7QFxE/Xj2OpOzcV/ya1NHeS9ok9R+7hJDHVA9O2uds957RPq2oWSypA
VZ9sF4+uiZnjJGF0rk992J9mvXRYZjWk9S66a8LmOky023zozkId6CsDkAcuqVWpejg5dPYKvzd5
jkYulI8qbU+coTrTcu0+FHPWKvcPNNTauxABQjW9DNI4nCbGeBMXtTypiGAL2wjDRe4x86pd86bK
CogDPmp1YfQQjgxsBtXdHxtkxMHXm5NKF4JdXnCZ+R4MXS+I51IeXadddo15EUICrb4u5fBbajYI
ztRMPfLMzQUhb9lk9p9hKR0rXnuEboPM4N6Ym35+5GZGCMaywYlcUfDjkG7qYkD2PjtBEY9OklV1
EyxZv9YjqULkac5Bm1vOrEpQRO6wcJ/QxNJP1ShDjaIAeHj/GA3+w0wTk6Ffh0UI1zR9ho9xUfyz
H3FRFTYSsgJ0UkCCXk91VW3PfB0vn4thHVy/IPZbDG/pPCMw9jMoOnv8OSrgRFMKWRm56H9QDDNX
fl8MM7tx6BurDv/HWxGDstfFMDZSZlFUyVmq5Lq+rNQGfNDQBAQ++CCd6oCkbAHDxFZ+BxX725iN
/n4vpZc6DaOJZt0OLc4xeeMdlEyeijxIkV4xYhp41kquFW75sIknWd7rE/o37czwBpR9chPGTe6t
JMmNpm3r1wyestNqqO8lM8onhtPd6xR2cz9DpMdJubbs4LjXqZI1J1xKlOWlnBmzjK7Pyq9R06nx
GwfOXt4j1oiAZVPetlhA0C4c9jFMu5V6ZeF3tTKxeu/AsuoVLV4QrxFYCqPobjpbuorrIZ6GkXKp
GfVXD+DXvmPD8VY0zTz18BKZg0+nVDKicq4M3hqMRbYP2Imr1inP6UedZgKMBzjyEkZWMcEP+rxX
5aNENh70OtnXwPFVenCsC2BfSYrRg/Sj9cffdg4SufzagATMenDRqcAGghF0wlutgxIMbBCU5l2p
VqflGFwbwAojHc0qxItBGhrmmcSbBcbYHSR+INGkQ415lBpvAY//sgq0FTJSq/ERwyjTah8ErtEo
7OQwVBg1GQL1CGDoTDI6HNsrFwltyccPoVeOQx+eRihwk4WHJWLRyHMbSKVZYeXRIdntALa0M0DE
spOc5oOOxHVUoHudp+o+CFBaAKA1y6BBLAFr5f3I8stZKFCdZuv2c0MgPSEPguoc1AOEwP50AYPG
gEJNuYElmXZTKGrFfgkcvldV0dyNDlUDPYheoEv1buQmBXCaSMTuUpXcfRJTd9phtSoDT/UFTrWv
y9tQKi/M1jjrALJ6IYhWUw0RCkJDvNYPHAUNnmg0r2o623Li/VkBigWVIIE/o6NjCMRsK7CzNiDa
NMSQ01O5jK38WhI427jqriSBvOWfMlAXaFxNwHIlFX9V1UR4QkEytIJzFWT5Uh+c00hnhFAPPeNd
8L4NPZ15LyDAVocXnBSWNsagAb6sIIW7GpXOSCv7de3m4UyucljfAlqsReF1E82sOLjSaiENJ0DI
nLUZ/hb0HGqr3k+rmrl1hyNIr6juVMPgdMg7kNmITiVhoM1GsM5o8/nzIS3oPYCDDlJSWtB+Jnbe
AiQNWtoFNR312Hyw1y517Ugavkcyox8JpHVmVXNNQK9932LQn/1JFv9dFvjs3NK/l6N84wDcRtNm
lQ8DmgIguqGo+XNzAJc0JMWF31TrWB8Z5wyH2NWhguRg6KkIhHgPZ9+Gj17aw3e1Kr95UnPcZfV5
nEvLumW0EKT1DIHYpeag3qAIJLohMOmhkHxtBE69rOvvuZQkoBM7dRb31jooym8M7QjoGSwhVSDe
sRQ0j+pGANMNyUaYBCkSxSnoWpTVpAU0X0OkAl2iBjMu5ONKIOu9iumHP7ZHtUDdq8DvTb9fhwKP
nwtkfl1UMekRlWmlFwdmAq3PD2io+f1lbRTNtBf2NL3fzYpIuKKmRsmhyzgStrmMywBOQu+uslhD
5aBx+6kleZeuq59muXPpuPqB1g/21IT3MGmG+MLN85WHl8LCq+34a9lVAeM5yKu0WGHbiINthNf4
QdakHF204FpFUVj1b/sUBxtGLIu2S4+40C8GPYNlgjrJjABwnuutOgkMY9ZCItv3ZWDqbaXpE8PE
5cVOjxDB06dREZ9UfnseMMPGNZF5YEAGb2UlHSwv5t+27aVhhvbBmDa3aIIwDMxLd0IR5k/NsGBs
MErfHR0uE7ZYwT6uOufpkN2aGme7iC2b/NuWpnBIPaD1Y4oCk6NPyqz4yrRC4PGB3CdDD3IPY4GJ
j0rlLOPONvJUXoSBXC8Yctw2TnCd5Wwk+puLofbAefCVkwqRRXcacmB1D8cUzybWtA3MQ/hXJPs6
tgM+ei9aBmag0dsrf4jOO2LitA7tjIUBZ25Yhofj7MB2A6Yxa0KBPRdeSbk0drMIzxqcCzJKO6vD
Ea6DFxWZVxiq7ZfpcG9kxhkG1w896gokiyGacDUNGyx9kENIT4BFFbh7j4jsYs1kWekBaLHDOs7L
qT6oDeJccvYV7mV8WI3FlaZy8ONUu5YG/bQO6vuuiBeOG14R7OXjwIRmRPw/rBCYorH9BVfZA00i
WcSYtheNPTwtsYtyDcZeCHbSnMZFqoNUOlMt6y7oM2mWoLM5LYT9zZDZFwpzuLlh+DoM6j6d5zmm
mW3cuIdyOaxNic1Q+626iCL7S59CqbJd6SjwvHUJ391DTxHGaL6fFRn/3srPsghmKRZC3hwpzbsc
XAk9zOBGlwPGQIV5Rmn6Z6ab2CDF/cHoad9DubO4Y/HdVdXSn9t96i9Miy5VbVLJy9nA9gspFJRg
cBggKjcm2sWo9wRzEFLUAhK3NoAwb4a8XQdBKVzLqbqMIApO68ANEY9h1Cgsg/S63B9GvUHmUWTe
cnQQIgExDWx002SB+yxUNLEzYTYEn/Le9yToPbZXLpDOkadZ0razTB6QxIFmMkjmdWJjzOR5+Hcm
hfTFL7sryIXZJA2cKRgzALkK2hUN5Y9HecEcwL+sTatAdbA+bLymmiaycwW/58yLMRxHLoVWXy41
9DY5T1pbL3pPimdo2BxKZE7CxlSedmp1m3sJCFbiOatFCIFDbMrdVNDBOiDDUm5+N2Xpi6TZBIEE
RRG0S79bQqlEjdW7diiPHSL5ZLCMu6q19rEtRe3YU47cVEuRXELmujejay9Bvrvo0Vq2adaFUsJM
9Va2vRMSA31i61I2UZrwKDfoPOdNGK7UAN9h9E7hukQ3noQSDCOJL0oJpSJvpAsrcUwsn7ND3emu
e3KuiemPyBLmWTovas2bIiQDyTwq+Dg6Yn92h3RqlunHdpGd2fYAmtsq6Ax03XdTtSAEdai0wI9c
yG3zNW85un6pnMdeKnqo2lIzg1oYVJcT9HUuoSEZ0LDRy8v8nnu6TJe9XqaL0tSPFLu+C5OhmjI+
uC56SsCkka/GODjqh/gLIPZk1qHomFnybSvIe3aXMmStrW6Wxc1JXpWLVO7tCUMG+rko/rFrwweH
3NhvTdTc+/RhTMqj0UnROGUIoqrgDcNwVuOGlbfAyCuyPCvi6vMLdqbvdBYaWwFvsrH25b78bvqk
dFbW40BLztci/RnE4VemIoeuy4w0StdA3m/DujnV9eIowR19xsB54bawpmKNOrawLnpfmfdGAne/
yC77yjkAsA2Fh7JRDs9qNE2GgAbuoIFUduN5ULYnaBEcNkE+jQ25VY+qUBmmhWep0XmcjubXIQtM
e1VIRssfGDVSiYMQbjFy6f+N2txzmbzRIeKH4pr46VlGZvIl+2Aj8bf+0kudt/lBzyimv2c5obyv
ah/f2KPpxW+fE6+JIM09phaaumcRFw0wTDRoeYGFizMc555+DHDK2DNANRqQvx9//vQbX63Ur9bi
9x/zoyfHx+f89iO8B3uJN/6mwP/nS2Hv0dlWgWBTl4sXo+s3S8FAHCyLo9LMft1V2fw9/p0P+Hf+
zj9bBNCTWy8CojNQd7DkfXp9XAREjZm4PxpZwZ/a1aXY/mjYewKuQF+BZsr7jWCBboCR5TxulF1d
AwGA3HI7mHsa1u+IHTx9UvF1v1kK+Awq/DlbMZ7O3//xxfC6g2eA5/xffH4+4M/b0dpTDZSoaKo9
ftGbPj4VL0QKukaPrx09Dcp7RNA/vx3NPS5HDdkrsLDi9X4ncDvKJqgAVmInF0EI9P4vtoMIAq/3
A0gjGymo5+uR+/bNcVCRewUWZQnYEyfv//g08CY+hEmAx1teCZCbHMivEGOftjxb680acCVAhrAY
zXJv7uYiMDLeehEgnTiOphEMxev9IrARALvZ1BdPJ28Hd8LTt/PTFO2fXwnc/SIdYis8XQnirLzO
HVkEGmroEAnq107uBMG53nInQOgzZY07QX9ahPcJNPciP8RDXLgf8trVZEGku9svBbARHeL6Lw6F
smcQThFw3NVFELyQLRdBg2giI//+VC59jJMwUSCLocFv7WacZJc+lTdb3AwMPi3ByFPFHSleH+Kk
ztWha8TJXQ2UyvYxwtnjIyKhQp3w+NpwPcIgUhCT2Nl68jPSRgt6FP2D5wSZTf8mRohsAZMrgwpi
R2OEcGre8k6whNQ/mTNCeY+v97kziwCmzoKRDQ1MvHZ0KeTtM2jCJbA9BQ3OdxtBZExQ9FA72dkr
YfsIibGDjHSwjNbD0+vdIqAcwDkxAZfsatoozCW2Ow26zImHyo+gwbtPr+p7CnYXSHM9h40dPQb6
1r1G1oDyCKwsEhG/ig0afFU4p7saG5StF0EzyIQe08XnXGnDtSiqLJDGT33N3SuilO3rBzpsdJxR
f6Jd9fh6dyiIDVCw0JVSdnYRnrboNvmiDOQcpXNsOJ9eG4ookx8L0tmO3gnPXa8tFkGDoi7kvgx8
vh9fG3oKENdZAtFt4A7ewePw9O1sswj6nmyoqGe+HIf3i0CExE6JxjyJtXjtbCW5far0mDVaWB08
3wws7pvUWTQb4WAgF7Sri/Bc52+zH5w9PiAFpPU8n3wfI4Dekk6ZoGt39WbQtj8U3AzcC7pgvDy+
PlyPGJA5hBDH2e0e03O1v81+oHsim6CvzecU8f39QLtNMJS4Hp76cbt6NJ5bolsshWiyIE9Jhvgy
q/14P5g06hEXeUrVdi9eqFvnkCyC7jzKpphPQfNDTUGmjUSUTha5o0FT277TBIgDKRoDIMe7LUCz
EUNNW0Gt9Gl5dnQN1O3zaPICRk4/7oUPLUfyaKIl9uzPTYwdPA1b59Eai4CyAuTNX6B5RMpAGi20
bXd1J2x/Gsw9VCsetRJ/GS0RpqD63tkp7XO9u0Vw0NjtYCJtTUhXideGlAFKClayzq42GIzP6DQB
W8OSF2Lyy/X3IYPWIDujHPG4SLuaLIh7fbumm6aB8wO1ZZu/mM0RKRBzkVFA29lF2L6isvHVfVyG
ZzjPpkMh5Nyg0b3sl52ss/Wtj4am71FMiF7CL46GaDs5NoeD8f3ja0fjhVBF3/JoMHyBpgnk8Xkp
PtTZ8h6dJ6T5njO13csctO0nEzYNaXA9SAI8fd0fFkEk2uJ/NGzFa1dvCcF83XI/MJsGr6HJv8L2
iEzS4ZIwheTUTt4Pwnx+y0VgUmUglQni72k/cPm+DZ3sB1mVmePsbP7wtEW3SKLEpIrmPJXV8x34
4VCo3AzCV9Tc1eMgvD633AkM5TgNlJDPMIb3QZPMQWUVCKy7ehq2z54MrgS4rYSBx8tP3H5vTwPU
AIZYIJt2dhG2Ly6x2H1UKqCIfnq9XwQEEjDENexnG+Ddi5PPd9UWV4KosA3yaFFePr4+7AQwj0j7
49a4q/fi87Rgm0WgCcsEBlzTr5qwyt6jLCMWxjt6JzzTFbZbBJQ2cGug/7h5Jwj9TNyqkePY0UXQ
t08bYQVYFNDofT1dCe8bkAICTNcN/sjOHoftxzP23rOk6TOY432EZBHoz5o6ILAd3QnG9l03aAEI
s4l06H1YYE5hMa8F2rOjn/6DXu4/h8JbgDQQazXMX2E9FaDwYnCN0M9u1gzCB2bLTJFZLbY3MCif
C+kPl4GCTBLRc4d7jttnSWJgrYB3ZdDw+OKOfZsqAoIH8WvTf/77O+FvpFI/uMdTP4jvH6nJeME+
coGfeKZ/+RdeGLsfH/CKRvTIqnvzNwVV+enZT2Qj8d//tb5PgnQWVHUZ3NXqI1Tl1U9foCuPv+n5
3z9/xI+//M0ve/lcL394gM/furzzh8cfDM9vdLVO4Db/d8z/3a/fk6BEA/TlzzbTrH8cg98/HRGs
h5cHHd7/+19PApwyDamfH/Xf/3q7Eq/O2G8fnqzvs/LlQa8ezhW69cMnQgT05Tmvns1O3frZ03W8
bvlKqpdnvXo++3375yOwUH34SplxEFk/4eFpXa7/mGYbHdtFYNv6V8we4j9WWblx/bl7tn7+PP5j
lpVsnpdnvVp/Ep2tn78oH6p008O567d++H78kKYvz3n1xj/juB40yW0W39cfHy8QzVu/9cMkfyiD
dfzyqJ/vXmg0bP94NJNeHvPq0Z9xYo8fyg1rLtASW7/r4yD1NlwEAjS79bNP1tGGO0yQSD7h0VX1
sGlNPuOAnmTVH/+deg/xw6aV+YwjulzfcwG/rMOr3fIZR3S5Ripzw7M/44iKZ+fZpttdUHC2/lqX
D+l9dhdsur0ETvETnl/ePdy/POjnugvQ2/YPz3jvL8959ezPOKbLbOOafMYp5dHojT8MG975Z5zU
1TrfsNEFZWLrBV89tOuPuSOG6p9xRE/LNVfAy7t89XV+xhE9i9d3mzTeRWt662U5i5tkU3InxrBb
P/wiIHWsgvsNKyOIuVs//3J9V1ISpPWGWCpGqJ/wC9I/Jg9ICW/6BZ9xVC/X4heU6bq833iRiXHP
p3yKWfDgbfoQn3FqxYdYcALugupu0+/4jOMrfsdRti6aTdFKILI/ZZVOmqD64/Q2qPJNn+MzDrP4
HMt1/bDp+Z9xnnl+vf5jsi5v15tyBgE0+YyV4ndMMWnccFmLacRn/YayGV8e9vNOFU3u7X+Bj4/k
pnf/KYeaHsbGpfmUwxxUEbLWzcsivFqYTznLWbzelD2I6df2q05ikmxa9U85v39lg/boJrpFg+jy
d14r2z78y4O/3rQ0AjS59br/Xg5/67f+O7vW7R9OgyjZ1JcTE7+tV+b39u/bvvmbLN5wz4vZzNZv
/Ka53XCQjL8+pZvasj+ohx+btS+Shpv+2dtetPgbd/HDuvyv/wEAAP//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7DB16B1F-5BF5-41F1-BF99-707E00B62569}">
          <cx:tx>
            <cx:txData>
              <cx:f>_xlchart.v5.10</cx:f>
              <cx:v>Qty</cx:v>
            </cx:txData>
          </cx:tx>
          <cx:spPr>
            <a:ln>
              <a:solidFill>
                <a:srgbClr val="C00000"/>
              </a:solidFill>
            </a:ln>
          </cx:spPr>
          <cx:dataId val="0"/>
          <cx:layoutPr>
            <cx:geography cultureLanguage="en-US" cultureRegion="IN" attribution="Powered by Bing">
              <cx:geoCache provider="{E9337A44-BEBE-4D9F-B70C-5C5E7DAFC167}">
                <cx:binary>7H1rb9w4svZfCfL5lYcXiRQXOwsspb757thxLl+Ejt3RXZSou379qbadrFtuz8rAGC9O43QymNjq
kkp6xGLVU8XiP++6f9wlm7X+0KVJVv7jrvvzY1BV+T/++KO8CzbpujxKwzutSvWzOrpT6R/q58/w
bvPHvV63Yeb/QRA2/7gL1rradB//9U84m79Rp+puXYUqu6o3uv+0KeukKv/i2N5DH9b3aZi5YVnp
8K7Cf3501kn4U+ksXH/cPUbgmErqcv3BUXVW9R8/bLIqrPqbPt/8+XHnNOTjhz/GV3uh2YcElK/q
exCm4oggQSjDFnr4wAkSlflPhw1MyBFCNmXCtH5d9nydguR0jR70Wd/f601Zwo09/P+F/M5dwNF/
/9dncLd9Ftun7wMQf378nIXV5v7DdbWuNuXHD2GpHh6W7h21vdHP1w9P5o9d/P71z9Ev4FmNfvMM
4vGD/W+HdlH8Lwgv6/SHSu6rvx9jEx1xm2HTJGwMrnmEGabIJrZ4+OxC/BaV9oP84gwTYH4hc2BA
/ztd3yv998NM7SNqcoaIbY5hhheAEyIoEg9jHO/CPF2h/SCP5CdAPJI4MIBP1/HmHeAVR8ikmCOA
8TVLLbCFmc1hmD9OEI+Weqo++9HdkZ6A7c73DwzZfycw9d2/xzTMj2xkghlm9NEQ8/EQJkeEExje
MD8/x/YNGu2Hd3yCCQiPRQ4M5PN1/h4I20dEAIKY4MfhS/cgbAsTWfYI4qn67Md3R3oCuDvfPzBk
T8CfL9/BMrMjSmCCNU3rcfCKEbRYHDE4BtDDsH4+eicrtB/bXfEJ4O4KHBi6i2STZe+ArjiyCLKw
eOk9kyMsbMypNRqxkzXZD+uu+ARYdwUODNZ/J3mYvYc/ZR8xQS0IfM3HUWu/HLUcPpbFwZ9+Pmqn
a7Qf35H8BIBHEgeGMPAe62aj1+9hmm0YooxgMM+vOM3oiNlbAsQcOc1vUmo/zi9PMQHql0KHhrYC
1mbrYJXV+7hZCAOZQSnfP6qBz8LUtC2OYbw/H9XOG/V6BfN9Z5kC+z65A0N+lnxwlQby4x0mafuI
E8Es8hQ+ibELRoACEQID8OzBEIwokDepth/5l6eYAPtLoQPDXNZV9R6TNzhlGIw2em3yJvjIskyG
wefeHeaTFdqP8q74BIR3BQ4M3U8hzNtleP8eCNMjYSOL0sfxihDguJOYwPyIwqwOMRWM9eeG/E1K
7Uf55SkmIP1S6MDQPlPZ+5huAj62zZ5SEGJMfUH0TIhtC2A+d4Geqs9+jHekJ8C78/0DQ9bdJB/O
FWQ4//6Z2cRH3DKBHdl6ZdvPGF5iQgbSpMBsjqLoNym1H+OXp5gA9EuhA0P7ep19OFbrog7fgy7h
R8ICxIlJXuE5MRChwJUJ8ZhxHs3Pb1RuP+77TjIB+X1iB4b9HJLw72LF2RGnmFkWxo/DfOyAgxXn
tgV/8KiOYLpG+7EeyU+AeSRxYAiv0nyjw3Xy95tySiCGIrYFWcj9QxtbRxa8AhaGLPT2Mxrab9Fs
P9YvzjAB7RcyB4Y3GK0tkZKsH0iV+m8uDwInG4oKIOX8NHuPSVKIs2zbxqY1Lg96o1r78d53kgmQ
7xM7MNRXWf8evjiDNDSBdAd/4sRfWPEtnyoYA8x3ffGp+uzHeUd6AsA73z8wZK+3jMl7lAcJID4J
AS78aYbeM5QZsaBMTIyo8Oka7Ud3JD8B35HEgSF8stHv4XhbwIc8MGJPjMkLwgQKiCAIg5dgnIWe
qM9+dHfuZgK2O98/MGRP12W5eQdsoYLThDylLZ5iKvSieATSWHDYtNkI2+ka7Ud3JD8B35HEgSF8
ttbvFTVzE+Jm9JTAeGGcyZFFMcArRhPvZIX247srPgHeXYEDQ/dUlR/+nfmbZPMeuWjzCFmEUPtX
mdAYYwwlYubW3YYizz3h0xuV24/3vpNMQH2f2IFhf6bu1d3fHzQD/2kKJKD6iz0SIy9q8NERsGWQ
x8Jg1J/nMSYrtB/pXfEJGO8KHBq663uoMPn74aXsCOpLoAIMTPevQbuTpoLEM2JQcGDicfZiskav
4LsrPwXgXYmDQ1iHuXqXNVL8CPADhO0n92uPZy2YyW0CKaqHz2ggg88wVbPXsB6dYRLaI5n/BXj/
tYo7N71dTfXvX895z0K4t66D40dggxkT+HGJzMt0M9TwYk44hoG8B2Mo2/q9du/RiO/TaT+6z2V3
7vHxFv/6ofyvW+cG5NwHCRHnWt+H75KJgDVtsGAR2/Rpncw4VoLCAQJ19mJcN/B2xfbD+cp59iC7
8ytY5PmK5IG9AGebDDyt98EeOK4tc8n5U4ZibKkJhWQzZ5Ru09A7ztZblNqP+8v72sF3/5rWl0IH
hvY3lbwHUQ3F2xxIaigAG5UFQUICDnAM61p3EZ6qyH5wd6Qn4Lrz/QOD9Drc6HfxpaGojyEKq+DM
R196bLnBl4aDCEqF9pcOTNZrP8aj+5qA8kji0HCGmXqu19ldWN6pX4Npj1sDdTtv6znAoRQAIQ5J
pEdXapxlghptqB7Blk1HMdN2gvyt0ZRg7hWg955mCt57BQ8M9rONvoNGCs7f3moCcsmICfa70m/M
f8HwNm0sgP56HP8jAz5dr/2oj+QnwD2SODScYcnBRm/6d0CawewM8zNFT6tuXhhyfMQsZjI6Xs4M
RZaTdXoF5fEZpuA8ljkwpM83zfpdVq1DZS4j3KboifzagzPC0DnmRUp5ukb7UR7JT8B4JHFgCF/A
NO2/Q/UupVDyBatmbPbaIkloXGBBXxE2LvaartF+hEfyExAeSRwYwjebYJ2+A4ENqWUo12OQmXql
cBOcMVhog2EtzSP7OZqVp+u1H+eR/AScRxIHhvNlsr57l/If+wiWUGzH8hPBuc9W821pJ/ntlD8n
SKbrtR/nkfwEnEcSB4dzDa3n3sH3EkeCMg4rIZ/G84v1FugI6kQgIUlHhdiXyVSNXkN4R34SwjsS
B4bwt/rHO9hraNgHKQiosYb1UA8fiL53E46w8hFaQNngXf+K2R/bQE3VZz+6O9ITsN35/oEhCz0G
s7BM1vV7jF8OlVwIeoqw19p8YWjIuK0T4aNKoLdptR/lPeeYgPUeqUNDfH2nofVXVr0Pl21xaEVi
Qh+Kh88Li70tIdn+gerO7WfkgV2/SbdXcH95jim4v5Q6MNxvaui7mr5L+xlYJ2dDHhLKrR9AfZFw
BjYMqHCMbTKy42/RaT/aL84wAesXMgeGNFDLsIxGrvWP91lIY24p7W395ith1rZHmLAh0IJWuw+f
3cn7zertR37/aSbAv1/w8N4BKE2APsLvYeVhaY0FyyugVuwR3xdJD7DyiCDo0ztefgFJh+lavYr7
+BzTQB9LHRriwbp8jzZEwKpA2zBGbfqal07AukOdir3tKvc8zr6erNErSO/KT0F5V+LQEIbRc1qH
5YeLH2GZv8fAto4IoAg0N+Q0tx9wz3YDMlibAUtyoBXNnmzmG1V7BfNX7nEK+K+IHuBb4IYb/z3w
h1XRGFZuwMroEfBQaIbBBEAl2pPJH410ePSTdXod+N1TTIR8V+jAwL6BJTqwO8Lfz61tG+nD6jkA
+8lHexGpEeDWoFcobKewi/UbVNqP9PgEE3AeixwYyuCRfjiDvR7eY0g/FHxzWPb+NHD34AwtiaDU
0Bzh/Cal9iP98hQTsH4pdHhob/00XQ9//7DeruHgkOFCv5bojA35dg8U6ECFIM25O6zhsb9Bq1fx
Hp9jGuBjqUNDPCzjsFf134/3tiUVheoy8qvZ/otQjBwxIGAtWLgzwvsNOr2C9vgMU7AeyxwY0rcQ
/9TvUlAKrcWgXJSi15rBblvLCUh5MjTi0t+g0n6cxyeYAPNY5MBQvlbJ+l3We8CqWehaYW/LzfbH
X2C9TQElwy+Ilcka7cd4dEcTIB5JHBzCmXqPEhXY2MikgsHuGa+VEz6EYMyEVXojew0dK6dp9BrC
O/KTEN6RODCEb2poM/UeZWawgwZF2wKjV5IhD4Z622jKGs3I0zXaj/BIfgLCI4n/Hwi/vkPd763+
3HW1nj1sEvhsk7q/PvrwgGBvw5HoEzu5v+7/kblc3f/5ERZcUagCBQf591qA7Yl2uM3fnTV/jdJd
wQ1wsX9+hC0HKTR35gKocFggAG1NYFC3m6dDMKML6GFEwSBA8LUNvzLoWxr8+dHc7lOIwMo/rAtC
ULL28UOp6odDGLhWBOEcYeDWcRMajf6610uV9L7Kfj+Yp58/ZHV6qcKsKv/8CFUy+eO3ttrCLAIv
IVRfmNttA6gJQQMcv1t/2m4tA0/h/1VeHZXJkJHLTHVLFIen3I8d2vSzZ09mz2WAQ9y5ENwJVORB
JTz0BRBUEGhYv3shw0exZQdxe2lZLF5VPrLNmTXUx2mYhlIRP5ZGyw0XV+pC9PVpEeefOdG1k5dV
57RpVM1ijeOTRlvCpUogh/ZVKA0r96XX6q9tmedOagdaBjT3nKBMrnO4oEPy5FKhMJOYZ6G0C1K4
ttH4DuWpKdPBPinSzhER0k6Gy8EVFltSGmdzjzVzYlqVWw8Cu2XcyZybXwybnwmzFhJu82tgJspp
OuuaEvrJSLtzw7DOqxA1ErVhJKFD8EqL5rz1Un+WCvzZ8+1EIr9pXBKEgayb6soyhnlr1l+ErTfE
59/9tP+mh7SQcc0zN+nDS0t7J4yn4Ry29lgy4elFGWhASOvPivnL0DZ9JwmCEyTMH1kbxPMmRbnL
mj50EtXlrlH7Siamyua4Gr7jNG2cwYwuTFvP7T6xpJFTt2Dx95rjz7r0z1SX1lLh/hMv6gWwhEuf
+YasmjIFRWko/SoznYBY10afJ05aFbbDxXdRpTNEO7cugkKWtRlLeCFc2B6MA37RIub1T7svQ4mY
dWY0tbVCWZq5hWIO5v05aWun60tTtgEO5zFOLoskiOaUtoshNc983/Nlhc2FaODZBm0cSINZjZsX
4nvWWEvRx59UNvQuHcrbkOHB8UuhJa2S67KtV9iKG1dTdIdg8Ei/7W+TMLQWHR0uSJcxWQZRI/Wg
73FC7kmbECfu8FIlYgV9YbETt+0ija2rNLbdjit2yumQOSzJ7oYo/xrwMnBSpm5YE0euWfB42dZ0
wXnrEOrN7cwUegavWCA7sw1muAuKdRYpX88H26h6x2Kdlhh1cdjInmi/XJptkbmIt3Nst6HEhe6O
k8QqJemxgzy80ia9b5FYhRaeN4PSnezjvLmNLRrGcHcYDdIKLcutOxy6cURWNDeXuInPK+TPertY
eyz8hGNjA/2XYlmI8krB23jTk+am88vK6UTrqjbGKyO10lnWNqe2TpRrlCWcN86cpmzCVVL77TcW
8XLW+fmZHyLPKfNuaXuFDMzyNI9it6nKZdtWXwcvi2QnIqeJ0GWk1VnMYMjSLL5MiHWSGMZqSAJT
Bn4QzIauT+dRE96ztk9l1EZUdjX+FFRs0alqEw9+63S1ITOWf231LL3hq8DUJ3FlLHvG112Evg9W
Hzs86UvZJ98T87ppy2Vf18e58mViaBll2iFzhNxAmJUMBjprqblsCJ1rHCgZDnmzoDyq5gjH8Dwb
83tmYll1qnU9Q2tptvmixtlFr9pvWkWlDHvztqqQfZYbkVncqKhxfNvU3lKRFCf/zYyiF1YUpguT
QQcWaG4HSRiI9Z+b67Isqen1rL9se4dLc+Edd9fqbBVV0lhnX/JZvKKOJ72T3IlqN1rQ1V+bcZj/
ns0WWyMOlxew4hgKMsmWUti9vPZqqzFYPVw2fJ17K4EqKbrvhkrl268DS+YQBycK6scQMJbPb1NU
MGeFXTNc4vA06EqZJBvhr9q6/C/X2Z39Hu8HnifMgRjBOq1tDdrz6xSFmVs1DtAls040u8ipgvf3
y1/fi7kPs+c3M7pIHSBUknj70OblbeDEs2aJ7m3XzqU6S+Edk5/0TMt0Tpafz203kefNWTi/LWfe
7Co6buVSu/q0cuGLrprDf7Pbv9Zv2y/vBahQzSGgSg+qbC1rpF9SDwPOeoQvLemfe1dohs7wF/+Y
tI7h1G4vj7/hReecF/N2aVlOehJIepWDvq1MnAdVnhy8Jzfh0Tu5U3mvQz942mj694//ulEp/H3Y
tvg/v9zuU/2fnxYbta0BLcdf2l7n97fgMk/X3TpuOz+88CR/+U8jX/FxJ+xXDr7NkQRv53VH8nH/
2D1eJEj99iKh8Q7syUcsaN0CTYsxjMzfXiSUUBJIz28bulBM4B1/ciIh0oQWLghCkW0OB7YIAmSf
nEg4BFtNWFCaCS4Zgzoe/hYnkpLdd9xCsOMBtBqBRgXQUQQaY2+5iecDSeXWEFu9V16ghN7Eqrwm
pXWSmuVV3OWRbBszOPaRbFNsLqO+j9w0jr2517DWqbrak6jIC8n7tnZVb3xC5jA4Qc6xbM0KJugB
X1WoINIUcK6Mq2CWRDleCV8TmQfJteYwxQyZsiVW3ZlRICXTLMqddmgMx+gsz+UVj2ZJQwypq7Y4
B+/jBlb8WWe8GbLTiJBKKkYK6XulPyMJX5il8KXdqNZhQeDLQWc3QWZTNzHSXCJdrorcmnt25c/K
GBPJzXQzFMGtRokhYVpbKmpcG0OMpVeUZ8MwNHKw/B/QriWShVX3jlbtLNOrCJ9in943sF07dSrh
L5XyfLdtaiKLoY7gicSJmyVd7JKhzGd5H63bQeWyq/R9XbXHuMpbKRDckG68Vanty97gueyzmTGc
1hU+7kz7uxWxlUKRKUUPPpng1qn29WWYdp00m60R6vBFzHQifVTPsI0AEspLWfl+ueLaRLL00k/E
b80rYQR3HcmuysyuT7yEJk6IAzwnhSKy5A2eU6brWe6papbEOnK9uMVSI/uUhMGqr0NTWjpwIzv7
1MVlJNFQ41lBU+7YZd9LJtJuxhAvZn5RNdd+hWAqw+KLb6hIqjBfFCg6LmN+Y4phjQ0/W6R9LCtU
zaImEK4iQSxzqgOZm/myRQ1xWFUcwxbEJeBXLARNIyf2cIYuc7PKrsFXgQvrUuaxuhhMfReqVq1I
Y1zCC74WKlRSR352HMT4qy6aMx2I2jVsM3LDlm66tt40vO/nEJ3ksihtb8k760cKQ1QqUMWJQxbP
w7a+tohfnqQ2Om6i6Fs+iJOhAA/VUsFCtcZp0fe5LJGN5pXvYalir5W6LM+raIDh09wEvvejCLi9
zKjoZGSk195AwZkk9ZeC8lVcVP7SttQxpB4SqXqWzu0yWzHf+qwDFBw3FTi4cTRcwznb06KxGvDv
lJpVPoOAJxxC2egsnmOxBa+jvYOYx1zsmV9KFWmnGepalmWWHZek7pzO4FwGfVjIpEwqZ+hK9dVH
nr/MgkBfRswSsqWF22U9ntt1emuTIYKAIZh3TYRlSVQIAOXZzEuielaGcQijvSKrMlSBVBELXE3q
FRpstCrsYMWxlywY6CILRnsJZrGSdlpellE1SFVkS7MqlpHB3EgNlYyiKnLyxMAw0szKMRABx9gM
uCv80q1MnEkO/zBM6zLyhVRl8xl30Yml62NF+3Nh6uuGN7UcynQRGF4ss9QbZBbj86arP4fKymTS
B5epWV/Ffntrx91ZmQ5fS8/kMm4qMDgqumUNOTY7tOzL8qayGZJFnSGJlKJSJN1pXBYzjrSap70N
/rzuzjxNr+KsT2Zdi2ec5MekrjPZl/VP0/K+hz6+MFV0bjT5ZRHxwrGb8ofnWZ2s4+FrEpRUmoVt
z7Io/V6mnEiv9wJZkfxGBeZJZ+Rq1iTw1lQeREi3tI6sZWiyjC6AXSazQHXHwgqV+39T+CMXBFPe
X0zhD9t67pnCQerXFA6sH7RGpFA9tV1kDHP1syn8YXaHvQYgohQCXOznczjs/gd0okUtYAwZB17l
P3M4JbA/OhTr/KKPfvkqO64WkGBPPz8ngiBjuOMHwhxuEwKsEmXgDpsEbxezP5/Dfc3bKKJ2cmHg
4psfVq0c6uQH7q1VgtNMRmxwSrDv3Eolavh8oP6p6Ivz1k63FExarNKwSGXtG47mNZn7FpojRa/b
sCEzm6vaafz+FFWeywyYw0Jc3YY2yZ0EJ6eBVSROY+hlEpfrlHW+rLF575GwdHIj9R3f6k46u7mP
awzDIEa9iyidsb6xJO6zYYZqI3F1anUusevK4bWoHbNHzKlU1s8z1V+SHmJi4icndWdR2fvVV9pV
nVtm/b1C7BiCntwtuiyHkK+MZepTaQVDDd6GuAQC6EvjDb6MbAixg8AAx5dX8COLQmfwcyLT1Pck
91bUr+Y9V54sCiA7SNvdDoF/VvHsJPfykwDuCWx0CL4+IZ/aEGJk309ncUbOPExuvD6p5g3U78NM
SBtZlU0Fc5NhS9Oky5QCoePZ+Rfb0obDUO/XvmM1RehfVyTKv6Oive0Hsz2p7BLCmKpcJLhNZFTo
753frMIsXqR5y6RZWwpi2F7JmnpEBp59FvjklhZgTOqwvTCgzcEshmDFJdbgzwYR2tLXwlgYqv5E
jeDeSjy1aGPfwXUcnyi2rrp1Lvq5mbN12VO1qDVaJDX4UTpvU3UrcJBdJyjJ403oD/dtF3waKMzZ
vM4VmE4d2PZa4+jcA3p0haoMLbuKqAuiPXFhpl553AvPMUUNTARny0r34DcEKHQCU/TnNBp4KEOV
tovE4l/arHV5mAZntFObYmjIEilfFFIzOxgeI8f/C1W2Mf3rdu5xtfJLO7eV+mXnoGcVhdkYggAK
9uoh6vgdqlBoHwr2D1woMILAN/+2c1CMZlpQlWLD6nxYPgSR6H/sHOy1A9QxZMsEbHwLXLn9llgF
uPexnYPGiFC5DteCIkeIfUZ2LksgxZ6AGheNCOLSjSj9DLZqGWWZcVwn/gxXJjhoRtNLr6lXXduD
X5YSNsONOK6smDk5pXjuR/2NbahiUUdpIjMcgv/F0llU53c+6TD4IVXdeQvGVG241KhvS3swP/Vp
1C6YZt5pYPZsFXXcZQWhTs4bfWYRs5aWT8Bh4vhH5ZU/kVdXy7zNzjWJcOgwVcazsKs/9bi74k3E
roo8TRw/bm0XJVkttc1SmYhMS78WEAiIXMgUtLK7eB75tbHEEfdmURpyadfhPc5IV7tl44WyyqJm
yUpgWv188GRFY1/GXoYvPBIpYOEy+F0gsiXHCZY5XH4Ik0xqjjBcBUzaQIUtNbULV9D2LOHeRaSC
4y4jMGaBz64ysq4SWpww34OQowLD3XjRJ2WVTszUSWMgE4YpjZwwLfrFADyw1LWe2UAoOzpg3gzZ
xud8KK+F1ss8QPbKKoZL3cbA+jLxhRb8Tml1XkBpqwQi7xjb1qVVeTd+A6Fh22q3icVPnYOJqcWZ
VbalS0oD2OfM5Is8UV+jNjlmWfiti6rS6YXxs/PtwKkrMQ+T5ruViU2e8WKFzSB0oqyygYKEx9Ik
NJcUqMvTMGzBmoHV/04ydWn30W2MeAoBrwL2PbO6mWGLdpYCTQ0uZvmFNeU3m3WOMomaxX5Yw4wU
BuC/FreKinieIqDmO5v5bom6GwXQJwlpqBM2YDqzATdAQBvK8c36Mi8TmI9h6p7pob4z8+prE8T3
qZ+Zc4/i+9yLo3nQBdVxBvbeM2w69zPezFlHPWcowE7H8LouaoSAnffMVMPEXFhubtKVUQux8G0I
m6itYCAo+2cfMdeMyx80bwMpvJbPcFTGbs3Kn22WM9C2Tx0Y+7mTZ3EyDwcuWeAJybUQThHCGPE6
CFQaFQyuB1M5TSoq275Z+A0TbmB3F7TxlsTKLoMuu2CxvTKMcF6TVZq6Xnsm4JylWV3nRVs5rOeX
ccq+cJFexFmRQOwR9a4XdYsYA1VehLB1WPWVJwFyVVdpiDByMSu50I4SlZBVlM1VnJ8RUi9KI/1c
+jWEU/5plebpEpPSCQl4DUmzNOs2lrwV8LZ33UWakOHYRsm3oAzPLZZnkqGWr6KCnxKRnodVvkgM
CpFK2RNHxfEgGatC1w+w7Rg+Dld1FJ6SOjzFaf4twV0h7basJcQ5n01ufal1eUHS2FwEsRJuF2Hm
WIFpuRo2SgKOnEOWrK4Wvgn+mGBD5xh9+qll3pfBA/2KHAjSIaRgekDOT5MOoq/EBTZ+5Q16U2TU
nJEhgXgV8jrIV0Cy9CyWAh6r01TBF+LRq6qlwM6HdT9rotJ040azZVygn5BDPDHD8DQMAi67JKXw
WhcuSsNvA6M3nge4a09xp6iAAokj/MmyxTfsRan0aXZFjK6VeLB/MlEvqsHoZZHZ3oyUzZUO6oWX
kZsmKM9QY/iS5/ZxqCGP5PH0KoFkSMdD4zhok8+hVUFqpOqOWW/PGj/pgZcnlhMVSeKwrI1nidkp
d0DB2ZC1hrQ81bmGTn76g3dT5ODS9ZjEcHNBvuiC6F7n1oWvIDJEdju4JifEyYCMPml9Y1hWdj7n
LQfupxiuekhFzYymyp1Y+NcdDWc1MZYCfDoh0gZ8H30Me8UFMAsEvlMUab+gLaudhClgidL+a6q3
8T1aF2UXLjoS1I7dNuesTj8TqzkdgNGSGQlnZmPOgXOYNco+CXO9jEqvWg7wEgGTxUIJbN6i5/hu
wPmZ5YPN7gT4wFEwK7DeVFF4VnXFeuj8GQ9hdJY9uMAUf1N2BkSMHcuu9WZejJa8AmsKjqq59Y8g
WwSWO5c8TGzXirMEEnH8Jq/Ds8G0NnEFhjKkbBtI8iUMbggmh/AM01bLrhQXWgz+gpjtbQLvrbQT
EyirVgfOlmiDgXalraaRjA9qAQ7rGuZOPVNhUEsj6BXkCym7sG3DXhjQ/2GhS/01jPG1ldWJowbx
GfPqWxQHngQfsZNlBa9GwnOg1Do8H4j9g3p2t9BCA+ukfuioUDKz1X3pDYkUEW7cLKDDeRZHluvl
xSXMeWetCcfaPDipRGZCTlM7NDfUTKT1vcdiIPZ4cU+D7CKKROl4wAI4VeOd4ZzV0vT7YC6UaFy/
q0zpRXWyHWUF+OTWecARjLIcksxGqOaq9pe9VQQzDnbSgIi8NbLrXg3BIjSi7zHP76yWOzRI04Xn
xQvwIwADr7nGVo6doin48WDwVV4B7whGPHYScI2AaBt6hxm4vBCD6fp9+jNGsXLstL3ouJfI0vBP
EQ1TR1T5T9vI/BkUkX1rlYFnRpECsZ+xdRxYlsx94ysqau9K29kZWPNSeGdmEyyC0LQMJ6kDG7zw
WBTnKklUwKQOkQ+hTlg0EGVhUQSn/8cXPPIF4Ha+7kf/3in9pSu9TXb9cqWBMth6w9BAAfbCoVCj
/4wywNA5gyCI/WG11qOX/Yv2h52RGIemKIzAEswHf/kZZQA5PBO8HyByGRgz9hZXGrIPY1calgOB
Ww5lJMCjmnDeXcqg8L3OMnADtL+pbtst79cAAWgAXSF5VOpLY9iyg5Af/2qBZ+IIKwFXkBvgfaYw
eZVGkx0Pfl/LeIC0LLgfX2IgeF0d2b2Tw85f88GswBna8pRQB6GdyqzVrPBE4xRbPjMCYrPeMpy0
s4NjlvPPAshPSCRnczYAoc2BGIUcoL/UQJVWYffFa1kgmyi/1ioAwtkIxRIj/y4DorWj6MRI63OF
AuDXtlws0hGe9xbOZQ5EbdKGi37L3IJpOon65JtXkeOK5eVJACQvgtlo7hcMXMYWeD8GVDDTsbGs
tuyw7qwebEe3YYptuC0it9xyySWQyqKjXzOisuO8TpSEHhlr0gRXwZaJBjXvRAaujaWlTRvuGAFT
6raLekhRIAxODgTiFkTdSYTmvkquUi8wgPxMNyzBs24boaskX5gQs3PdgpMQ+0u0DefTxgKn73/Y
+7YlOXF1zVeZF2AFIEDoZiIGkjxVVdbRZZdvCJftkkBInARCPP18uKe7q9179YqO2PtixayI7g5H
pzOTBPHr/78Tdl13deUlxeQtt1RYklXAASrgAfMGDAAfajMepCiqG2xQAz9oZnsiifmsNmCh3yCG
CVjDuoEOqe+e06a26d0yWn7dmWXFGAIWnF0Lr3tbJxEDnJzrYqynKG+xoWcoxctBVZXK+qpmp653
4p7I8ENQCaDErvePYSqylUvysvo06xTalOlpShp+MUZ359VXAyuEJ49d3Ba29h+Cto2hK0hBEVWg
/6VfPVc27rJSTGlGPFPvCKdgB5Ju2cWtAWPutXe8LsssGbGLJf4T9cDP2BrcygQtVJOco0njFDv0
nvXysYurb5So69KrAQ8HfZ/ZwaiMetOXSI0uryPy4oXNZyhqgEpxenAsasFP1cfQ5489bcfdMq17
LyTo1NZ077REg0fB78jrpKQ3weRBoOTco1r1m9+0aHGmNMmS2M15JzkGJq/+GiTeJ/iy904sD40w
1272nmJPfDZgyKELYoCcvat+GS4+KT8sur5yFtNpX4bPXBGdi6F8Khd6ZWqcoS7k0Z50kKrIlF10
GL2U1H5I/GDNGt7UgPuhoqGV/zpG7MEO9YV3wz4sN2aMzrc2iB6Iw29RZXU/jMEJSak5puozByc1
Jfaq8+JX7szzplDiOr7MUXwrqvVIBpV1PkgEObpP8ZSmh5p7KpMVC3OACUDgem8CWdUu2OrnKp+r
4dMwqjNh840k4Un46/OkRYrzUZK8J/bUDXGVY8H6Wec1D2NFXjui2JHKBnNpkh5CU5OiqUxalKYd
i1CUat+y9bhGYZXVnapPmnb5MoK1CNGnbhUXVSrAZBbNd+0E0VHYG38/ze6e++BrAr8/+jgFqEn3
xCU39cS+xkmAtUWTD2ES3ZCox9A0ATiYXSd27VbiBow8M/cfQ6b3DRV1Fnajysa+PbMgbo4K013Q
mCnjyiR5gvU2rfwx8KNXqhq942F6I2dRHjj3vD0kew8BJUPWcxnkLqSvYUVlEQDayKKkKxzx1kxV
YQTI0u1lNb0NZi0f637FgD0ET7qaNRBWWn3thHdJ2nku2hE1oqo+WjGjrRNHFadvK1QvhdGgpETn
51L1aFCqMfZYBqmc+qi4R/nNGnL04cncFsh5uorT4YltNMSwERLr2n5u14oVXTSTzIC1KGcQEhQ8
RmK8Pl+n4S6qmosA00HAeCxgPoKNAiF6ODdriNk0aorJxPdgPG4m5o2YtkCg1GBSUjAqvjcQ4AQg
WWJb+hDvTE8E/EtV+ucGfEy9ETMSCDqOZv3ENs6md88qtvedre+wHnASwO4osDxrLHxQnhhQZ18f
po0KWph51OCGgmQ8++CKIn/5oEOWleCQEnBJHYt0luIPy0Yz0SYB4bRRTyypwqza6Cjtg7JCjd3Z
qjtqMFbDRl1RcFi8TgDubrRWvBFcmP5AdXX1ad3IL0/ak/5Bh23EmN4osmEjy9hGm7UbgSb9oQKp
DlKNL1AGbjTb/49d2fveKob38a8asvdPLfldBvzLu37rxvAsju15Z34CdBMDHT7wN2ATgShbbCxa
qhQ0/k9K3oAiJdr/hdp5L8LYnoKHDwQgkiJaAQ+z/DvdWIBm8J2OB/wNQ6hlgDIL6wgA2O0Rxu/5
G7OStuuxdV20JayYbSmAtJGaylxSO98nXuzO9TJrWfi+NC+mjeYPMhoBQYxM9x/fnb3/ik76E8oK
rfMPwBYKk2hLFPjj0UTadZKJab6EvQ4uHB1emU3QT4p8wW3Jshm61xc6d9j0BpWaPu/rAZhjuY40
ypH9qL8xY/xbfIaYdmHTBB/W2EuDg0vi8nvgvGDZ//URhwCffz5/EYKegQqzmPpg6n864ooKXFtn
LmSJOd8ly9p8mGHFIXtDHXqL2S0B2H9aptlKE1dBeOmTg5oHF+yGuTXfoFQbUSG9Lt6NpmrB4SiB
zYMOseQFb2txJyd2ViMT425Du59H0V/JxgIerIBG3gD1mNXhr3/Vny8DUjB90Ho0wdogP370O303
dR63XteMFw0a+LnlKeQqkQyxNDo9LXd2GdhjVwbNp7/+2p8HAwiBMJNQKL2xFvGf7bDefW3sLzzq
Rq4vOl2DSyDFdNHjkFdpKf6FfO1n1nL7JoakGQw8SK2ADOmP39TpyK39INpL2vnRl962Q3MoTerC
THaiwKjbrDnxXdrmNYmt+leLZlsU7/Xz+JXh9ozpiIBVQHX46evBV1SCa1VdaC/jL6qe4i+y2Y4h
XtVYJAPwX+fj0h9s01vIemRLv5uGjSfLXHS9JGSAkt3WrcxrqtUHMnQhARDq3PcOvP/O91boY2LW
RsMxJgkYyb++TsGfLxQGTJQNoORgZfAMkj+ePj+ZYh3HpYf2s1RfqsGMPAs8CZV3RpzT/GxFJV95
yrrrBRKnfdJGy9ZszfTNUOzvuQMqmUOmMH+vMGZ9m+NO0PNfH2T0J2p6Y32wiLacAtjUYwrq/P1y
Soa08gdhyA0ktl3J0p1hYj2AwCVsb+Zpyoel9+9n5eIJBK2g+RDowxgOAGOjDoLuplcPXRMr9B6N
5R9trdqTGzEDdHHffUhGaLvLXpf51NY1CEVDaguMZ9QX23njbe9BJsx5wOoMA61WOYY0dYwT0zyE
Nb/jTpMlaybaX0zZP5lQeQQK/BAnsnIhakMEhSU8AWl93Yg4fSn9KToLsPDXK19mlltfRCrHoqtO
XjpA+Gxduu4CG3u7tV6+dmNvHiffw+xilaH7cuynU1SG4VMvAisPJcaWKluFLF/x4Pthzirde58n
RRUwqTE8yVZ3p6BnzbdqxvADCY6SjxXDGJDNfcTPGKynHIBVdwDewG57CxlWZId+HwRLMBcgVgOe
z5anPXA9URZqJMNu6titKGHq2AVBa47YaiAX1X6dZKmhzadF+eIqHFj3GBMTHyZWe+F+TNT6JU3a
oQCpUa/7WaZ87y2L/yUcG/s28q6L8zU0Pmh3Hs58v5i6xc1hbeE4ZqH90JZiB8ZAHTX+KgDwaGhx
otVMs3qsay+nYCQy2sbLmkWmKXNiPK0OQyILMCXOv7ckiHbVCJke9EJRb/bEWDbCCkCX60Sua1Pe
T7Y3SmWuapwevolShOH6MlpvoQqMx4BS3n4NweIZdN+TmabOvxhplISYpurXw8wmU57UUFVdVodN
++hTj5xqAMhTPuEalBlGW7TAq1BputNlif3QNNL2RSIt9/OhMUF5K3oAPO1ROmrFzi0NM9fJaAhW
lC3bYLT5hL1wn3iiLm9n3DoJUOe0S7HgiIRRQzfVwLKmx+ZVFhihktwrEeQWZ6704d5oIehTOSAI
W+5tQxtVjCW6gn2suVrzdI1RMXUooylXYvDQEY+Oj3dj5SlVtLxK37xpxli489vQHKoondJL7JW8
PGsCnWWMvncZ+9UBL0Z1E0XHBVVFOc5rv2fDqKu9axLljv44qi6PQ9dUObRzrjkMVV956J+j8KPX
qTXYASGWaod/fe8WMAfaf8A9+mOtFFMnMjDTFBLmgId1MoTsa68NA8AxYqRQe4lQmEM5zJ1+xGZM
zjVfQ7mfOhxB0ZqGr0UaLCvL09p19kalDkvbw60ygJgKpvNA4rjZ8ZLwaUf1jMtZ0RH9iV5rsn5v
JByeuxQHoHbEKQFm0K+iI8cUluShlD3ZVW1V7taplPDY2KFjd3Vp6ygnVV9jNuvq1bvyyybaB12J
2Z4KCFCKwIm1PYkqsEBoWCRstv29LGAV01g+nPT5YivMdmapvM+DdlDLZhXuo/ASrD/kfOkceeTJ
NTacLgl0Ge1Os97cxJPGlsRHKvEGpqA32peVCPTLGjRanHsHrmg/2nitrgLDzVNUh/GXeClVmaUB
Fu9+0gslxZisFQ5+Cmq1A5krR/AYZVEFVf/SWIvOoub1/DjGiX3tBkGOM7W8LFIJTBLgfInPiTGX
LXs9zBi5lo5E96OJg6fAQK+X2cQb09wEji7FHKq6Og5LGGIWgnIvvK08yp6132+Ls6778UCbUYx3
i4tMCrYPkhRYgyCF27Vg3gJ4QjR7ho8OqxuAlRx20C8v7ckA7w5hQ4F45SFMNYtOS1TbCdSJ2ZpP
4Za7WHrJUrRW4avbdtPuLqEy68GXdPvx26Fb1CccV6eCSxSDVbuf+hinCpydXHMmZ9w6XcNlda8H
ilt+mNAVcLyGmhoaLW77IHIDplwQ2bjcdlimG+WJDmYSf+qX/YIHkZDCzX24FQ3cTBjxAxSQhQVb
n2y0ei5Dws7pXAHPS0UssS4cT75YTXAYy1C7B2IWf7yCyy6sr1qQsfVjit3iMGo/uPSM9y+AjpPN
rSOq8NymnEHRK1o+79xAeyi/qCOHLsRpzcGKuK+ykfHdMo1+e+x9N8uPNlEwK6nSU29uZVsNqWDa
2mEOSEkB6lSM+y5R7KPnA2xRtuPQd0coc26w4qFqzXjF1MbNxOEQcpS9GELKWYTseahhzyuaUOM2
WYHwsFOk26D/rlCQ3TkNsKQKu1XsooZ7roe2dJ0LbDK2vwqGKUzykjVmxk5LZh+td19/hgmPPXkO
bfp5ZWYIvhmovsZMBQGFMsqG+KhFBWLNIwuz2wkSVQHrg2TJfgUyYm7AiDWP9TyCqqXjMVILPGer
TXBxpA8gBPoB2bY3Olmia88ACC9Er9V8xR2opjyNRyWe0ImM33ymUUZQOsc5kwIahIzZGYIJXbr+
seF9UH0K2pWkEIujA3MfOkM8QJz9WA6FoJ7kZ6/s7KvgvjeDFRpho6yYH9wvo1euh2GC+qAABIJF
Wm2I190imzW+qKRrgAB2s5/cRIGIltyhuxkLKzpcNZvqisP9RmHCTMexgUONLFBLNGE6HNYUIqpM
RgunO1c6H6RYNyb9Rxu74KkWA9Yadjr2jLUOTEMzHaDAhh2r96kSiYVq5AVyPJsGmZQz/RCHurc7
G3MT3URlk84PfQmjHjZ3rOiiqwiuJgYHt1xXxMj2mg6dIHfhAiT2BNkAw+9aFo/fyMHr7E6NJWoG
urHJ3DRNieMfmOT7UaRS7Ozi+yfXR7jvHRRAgJtLQW9+dKX/3Qqwm+rr0I7tm/nZrfLerPK///0s
LTEmiX/Ob20PDHwPv/zip97e8yuYApVYjBl3e5J0AKvh5oT/DUzZHpgGasuPKPT++ONvKjHYVuAd
RjoG+CsEnaAo/K4SS/9BAuInKUkZRngYUv4OmAIh2E+DHT4AaA46DEZomGKA/uPIYQZb6yasl9vO
lF7WpWZHy2Fr7kVeh87s4Jlqn6o5aG5DNIyP41QOR88PpuO0lgHUkdBesLY0WR+RCwFGUqBXwL1H
6+9kTebcwPh2Jfr5FW0YBNsOuLTsm+WOcQ4fs9I0Z1PZPkUjnAf+RCGgYru5Eu2t4hvzgB3oARwD
oEo49Qo+l/AoB8EHNE3NsWnIdKgZ6nc8nYhLn3g/DXvscyGa5a66bapF5VHCPnt+Yo/Mps96DasP
fWTbGxE6vTcr5LOe1Av0UQ123iAtsScZduxBsdxyGwIeRwd2tB1lu4YTduw0JPic00/tCPQ/6moo
4iZ1PUHLJZn3YmPo4QwUwKxFexiL7owRqJCU+0XI5zNu6CtoHp5xNm/ggAERb9rNkQMprJbiczxH
X5YETTNosY+8lx+HWDdFJzhmNF49mmhsMtJ4oAF1QPOE86Nc5/7oJeo74aLJYPI9JwOgfrNCIsfi
ut4bL+Z7UVo/0/H6ggtdo+3sHluvvESNe03X6khKCGWijnwr3XjnjXq+lmk6ZADS/aK36YVg1wNv
v17iFpfUgFTqnYUgibyGZPi4WvkV1RqqIyHOslluE8BxkLYEBtSQP6IlDE/bU9jBuC/jznJ2C/W3
yUMVQYSXXMOFnRYtJSXwYfHS8fUeydtXEBnB+rygI0S7zjKsjyVP0l6mt8T5NXnFjh67EzUQCVLB
r7wyWqHKCQa+a2LoMwSNv3sjXClTGmHGdyBJ4dctWR1DeNPAnwIZH42hlwtVcE3QyGfNPNdZ6Qdi
x+MU/Gcsi7QPUqgN1vBhiOEmmdNB5xGXX/uwizInKldUygGmrhlMthIueLniJFdjefIcGhkeg7Cw
uMFzHyuV8O6h0XrBykYjlrLNjKP8Jy3KETA7bMutXrIhxjBOWaJ2YWlhXvfROLnyu3PhsfLS+CTj
+GkwJYR3GspvSXLgRZdojJuTjeIkU3ZCH4AtBLN1dEsNpM9LOhjwy1WyXwY4hLF756WJr/3KdjnT
juW+F5+HZqrOgWuv+qgJTn1b4SoZljfk04gJzbN8b1e67CPwwqYHPp8zBW8+vNgZpCK7tG9eRRPv
07bDrY7bpOvoghOrPndiPC/UdifpUbg9qyC4FRYm/HLyxAN0FvysI6h1prS8zL3XZjVLitBh82v0
jHU+Q/lVdsu9wxiIWbKTaN7XNJvCsDz6vYmKdGyjg+MlA3bUjyBW9RUXPsUuO5HzmPD13NeBd4ja
3i/avgMsDAnNKt3Z8/kniO2x49YVEhdA+Z68KmK5kN3ZIzbnC3r5pO5eelrzt1GrHRO4je9pXX9f
69WgxWcEOrv/kV3232//3JC4f75/Xn+R3/+8f27v+W3/ROTylvEH0UUEuHrTS/+2f0JlzcDQx4ja
2FQeeOl3aUgMhBdOUooXwWPgA393k6ATimG5psCJ/Y3d+BtuEtAYf9o/E+SK4v/Dxo19/mdrNUhU
7Na9jm/l3KAWcdWXj8sCoeYxCSt5sHA1ZI6CG+7TeAfirTlFQ2zzePLioyyBzykXqhuLqAOZ1Q0M
cssE7T80knVGUJ/SrVDZrWRJmPS8rYjRrZwtjb/HaALFE5QjbE2/x+jcAd1bvit/1MMElVEv9gpF
f++ls0CzXE8PCLiA929JPjcLhJRjLVhhg/rQYN5ZSXewIX/oAz3t/MStuzGEyV+r4WiAbbORfafl
dF+R9Hbt0xN6iccq3QwT4yePp92VLlFDBLJARFSdAmY/NYbnqSceVRh/AJyyZOhoBEB50j0GI39B
Y3AiaVfUfvlCGB7bIgg01nNfZtLMmOC27JAK0xKG+Dkfhm5DvNhVTwRa9SG8kmNz6dG4QIDDb3oV
fQFueoud783gRGfMtPnaWpSOsjsrKmmuAN/FQFR9tyLVJKQZW6Eek2H9gXYEEAx157X0PqWDuHc2
QrKKqU8Th1Gmp+NaMAfrXooq3QVlkte2PYa2f5GOH2QLgXJMhnXPHWZ23omvI7iS3HVBvNOBO0B+
c2442hSYJi+6i8KdNZggq2F47koRFWR4mxLnHxOZsKLEvp/xGJgLDd68ZazgCQFW2Uw9BK8VUilo
/5QOqXftseYIycx9g+mUzUBDoxnIv+kAonMNEaTP3Wc4hs4pj77ReCQwj9YMUpn1JRq6c8yjz4u/
3vep9zQPwYvtym3LF29Ii3F7xGKAyh7ri6LuKMeFZUMUjEhasN+xebWZF8QcvmW+r8PpqxODzeC4
39NZfsX8jtfrYRNQVMn4OoPRuF7iGN2JmhZ+MLBkNRiNXHTA70+OygUL6nxcTSyf1eDQ/6XUg3EI
1WAHZ4VmkEHhzXI740B+ZFaViAhAgtKeeX4F54L0eK47IY5u9m9X3Az3Lq3pAX4isN/YHbPFhmdC
aoLdm2Wkx3vWqvNuaw6dLF38FjP1DC9q3BOZycD5BdJflpOiXpzF2A3PabqsBzrHFpLOymDrtxy2
sHlvjfqa+vy2nxE8gyJ1Q6YecBxj926k0LM39aVPOrijgo82jd3jgFn3RQeI+gh7TJEkWOA/Hboi
NViQsATIQgPYnCOA9bBnkYwEuGdBqGLdhMwDNgcJa2DBM6ooQhoJmEXquRsZzkDQdJhN4IayqYEo
C2ay12HyDgGBY2smw0knExyUcXqGKD4+BxwK2LYDpw5caPgc0h52ZZ3aYoI2PYuq3mRa0GZXqaHb
g1FT+YpW8GsfhJ+AR5Z7NuLv2sGmB70i00XKJj60CgKE0av9wyyhTw3C7fqWsGisUXnVM3EAanap
cEdB4DudayhmhcWvRvuxD3h7BeTtUKnSFC1rxqxehxsCl0W+CHi8STrhCq0N8nXk3tTC7ZVW9yKu
IsjnKMvbNL5KYRKD3tU/VLF88efhMHnj4yqhyW0aiHAAPBUY2W/GaeB7N2GwqehwKLvumEzjGycA
22NsHjuIanDDyiYLb9JFPamxbq6ZmO8gWR6zNoK8Q7UQqXFotuLafHSJRlRQdzWV6fcFiGzWtOps
pF0KHiwHmkSP/+kQflGQ/qVg4dB81/rPLYKPN/3WIgR4SAe2/4jiaUvhH41YiPaG8gD/IP5rc2K9
bxEg6QSt/at8FC/92iKw7Rk++Cz8B3kpiKD5Oy0CWpWfWwQ0Lhiy8ZmwfaEX/2nEBghHw2VKGRwP
g8vqOFi7w0Baru+Jp0VYxAIgz2d0EsM9aUpMcWpGqV9ndp3U7HrQTOadkq+4tc4O/o85NFjHUQTR
TEcazLgDWU96IX0xzexepvZtg4lyOsDeP4UHj4YIioI1I+4PPu8OqSaXpfOOXtW8xsOCOaJur3lt
72VYYY4xw46jMlMfqvm6xg042LxiLfD32h3gjriEq7+rQpBXVsTNfvLd0QXzkGkveK1VkC1w35+G
lH7qInpaB/u108tNyoB8FiV+2wtDYIKBDB2UZPt9cOlOgvFA9w/fh/Tb/naF7gsBRxrkY3DsDTxT
splza/w6k8Qbik5RffJhwCom7fm7sV0/KoAHoN9BKNZjmA0yGooQ7hARhYeaTHw/SAKV6MBpUdvg
SyqRpDQiK6uPKDKp2ulFLeXnqa4fhW5vAYIibU2V8V6NMO1qX59shTgAVo0LhkkV73wbzTDKpe2h
EzPZTaCLchC6CINy9yqWp5H3gOjD+ptTcwrPBRhmEHrQjSJfiXD3RYcT9psgeDOhdw7gvLPGXdeY
rDCimhosFNUAKyZ73cIvunOR52VLYq5X2XxXnrafcD2vTPx5VcA54Ruem+au6eszEg0eLTIDcpjF
6hF05aZh90I9rQX2TWjbAY9uQvfgh+p94TE9NWMaeXDXQrGPkX+BG7hnNyH1xJnKdj4gaKKFjafu
sCf6yKWAiZY9lrLEXt382Lf7dk2O87aZQ5kYNTvM+PyAURIbNtVDeE2bZvqYtkl6REaI/4vy4r8b
lvx3G5i2Bzb/1cD0fxokAn378nNB/OVt7woigg6T/5fDCAjj3cyEcYqiHMJ18nOKDh5thnpIII5A
Kf3jzIRk/RhFFE8c/qXG/r2C+GdnKtogPIIcJAY4TuQx/iQmSRcstCkV020NH9k5bVh0M+jlKtVN
j8FoeE5gg+trI4+6pc36XbRj791PzgEIWKscfGZzzwQsaUa6e8Ojczuqdt838KIHq4MQSWLwh58x
Aq4l9hx60hPYbh+9OTSI4CO4yNnc672iXTM9Ot69MBh1ELZHQVCCckTARjhG53nx1nOM8iXK3KWu
gmlW7lxYQu7uDW+c6RUaKL88ONSQTASSbXFx83PH0vQK3a+8SYmG2KB67CYi0Ogp5++7IK1284DC
RWemdy1ZEbbTQEgZJtAbDzCfSTqYoudBHpvQ7OOlu8BxNaORaxlc8+uSeaUBhym0PQ52vATjyHKj
+5cBgnQX2EIgNCAcwxs/4ld2NQjKqLsJbbPrIZJNc2SLwWOOsE6EAHmwpw+Gv5W2TT67tZ7LfQ9D
TwYRBvhxMQZHNkwPQpLHFAV5OnWJ8Mx9FWC2hYwi171Ijn3sRv2YGB8aajGVdM4ILaMDCSDbhDMt
fkO9sCfEtkyHSUu5W5W+c/V4SaLurBtx6f3wKjXeHrrcs6eSXbuC20Aj7dfwJlfdN6vDh8qwl//0
Uj96qS1R45+jLTdf8IyVn0tHDDvTu15qg1vo1rCkW+bq9tJ7uCVEE4N8GwzIwdaB/Qq3gJPY7mMI
IGGS+QWk+bWXov/48cQNxHOhRQP98be0n8BOfu6lIDFlmzQi2o4CH/hHuiJFKFeSeP56S5R47uGr
xV7kNNwbfb8LVsQC9ckhgK0kdh4yS9mzah3mtQl+ScWSpzqFaL01J1XXRT+nJfSJVGHIrABNfmha
FhRt6N9zD5lVxlacwbRQe6/QtyigfgGZxRUtZ9AbsfZhp2hofRxhSCzUVE/3Pqa2XTslj1YiQSSd
3S1sQOiHNNl1YkUE5dI+Oec9I2PnA2kh4PLhUc39wZ4Sz8ExkJ4hdd+BUP46rEjlkNpmHHaPrg7v
WOo9h/Ood5CGwRho5M3cIRx1KvWbGyCKFrAQIaGH78JBkSIOl1vQv1/6poYDZCbItmvFN+id1p3x
yzFnS1pw39i8a0WwlzShoCK8yJ3s0no55turYKK3MMbniAy8WqcNw4bUbFYQUwbhfAWtyUfhsxcv
oi3MkIj2AaljYvUsK+i/hnr9AFJpP09BdwlKmMG79g1GHlS96oFN3VbK1HXH1SlQ7lmO05XXzm/+
ECPrxHMUcaIE8UQVhjcP8jwQHvLYj14HIyHkPa4NdyV6zxzqu/Q2dJ3LV9fLfDbw6sBOhHAxtJdt
DZO38p0HSQaECnqBnh8E3FfhADoTQDKmRMs5LkGu0/DEEnKcpuG2bADxE4AKN6If+g7OdxAzBxM3
6MziBjocM+TjGENCIVVGWrhohYYn1i9fJUFv2ixeFk3LrtbLF560QLYnOLCRUQBXtkWvjOFaEO+L
P/A6H2bYwQNA+AFANSdlegMwcy5Sf5z24SQSuLDIsUOE56NA8tIFxBuGZDBIMA3DVbUO01HMC1Jq
kiZC2hvdpUoFB+1VZt9g/V+mKj1QLzoBF3/24/joT+GznU2QczH6OzOGwQXYQH3d6RYoPtTWhYjV
ihSIGpGjyybeibxtWwv8S7eQ8L4KW3qs5HxgSBwDwnhWcoT8og+/pCSJAce46hZPYLLwvUV7l6r9
ZEa7C6Aty2OrX93Y7sO5+tRyDBHMQKQGs1ReN665jaIEZPe/0gJvNeB3rSqcbj7aG8QrQ+wJDiTd
MgTfqyg7smBm8Fhw2ygIv78hEMeq07u6effLh/2vfxon/eMr2JYPCs03KiGUsX/8CtfxZayrJLqV
4+sk71z3pNl/HKO/sOM+5uN/vkfhnpjGP/W32zV9t0nhUTAwYyJP/NeglN83KTxUAJcHzDnSGYEG
4ML8ukmxf6CvxUtQQMUY/Tek/tdNaqPbCVKawRVsiwa73t/gBMIfySq/L0A4FCjyQAA5AI8AiIC8
qT+uDjjQOcRVJVbH2lF3WpMWdOksiClvIdwhSt14EIoiRpg2uTeJRxfxCAae/8veefRGkhzq9q9c
vH0O0pvF3VRleZoqkk23SZBsMjPS20jz6++JHs2oRxoJmLceCBAkdLMdqyojPnM+uw65HOorJGZq
L3mTbYagt8POKfS9zq0u9CerXQ+yejPmhU9nR7xBtpjCwiJo33buKecGt26i9Jw2pFViFLW6ADct
fRIz/rzQGArcLgQuFREqzSSN7UJukhZ2QuL2p6GEokJZ6kkaLjJ/uXPzgo+wKSzlskMXHOkMFTpa
bHUBUPxYudWhUwqryOFbm/TW1wEZnpVol7cgbS+ui1A2AJQBCmeeTb3Prwd7qbbE5EosTljLomu+
rCh+4+nZrwvN2/Tz5ziZTkhKdyM1Cz+3KK8n036qyxh8oD/WextDDsEDBzOraaJZFeCoBXlhbcjp
ZC0i3Zjt8omruB0qecKG2Bm4l0xM7jqr27QEaSHMEEsA1MTHsPXZ08bLRhh4AcrpYl2VM305iuuq
G8uJ1ut57okHf6Cbluf1vqDhMFXpQ44kSz/zUrf6KdGGNYIL6S6nuEi+pUNhk8ifRFvues3wt75b
Hw2neC+7BJSkF13pSDtkLXGUf8g9vlJ+jEmvo9e0zWNz0/0Qh7Sln+tdAbMWZCX3Z07oiOsAuD9M
5PZJ6e4CAT7oEqpRQbwelTYvEOmbH2q90u0LOe37Obmxy8jfaOM0bxtE/lFzAUT78wv85Yd+mS6G
NF4tbAEde0Aon8BVjoGHdSDM6TgqLyFPMCa4rZGBp1/pK8fBoR6YYkEQRNsjNmlXJMMfZuVScK0C
Mhr7t5FyMIBSfdl8CA9Jz5NUuRy98jsW78tIK5tYZf8olSNSKG8kxyTJlFviYJu05L14eIMFUY6K
ViUfcdYsZAnmZeuPkE8pCe9MrXsR2AOVcmZK5dGQcaWiiGvTK//GID82KUfHb7XzjMXT9jolajyf
FPPHiZKYhCx+UBcBX8QgIhG2z5Vj5PbVsXSwnxPyu4NylRI3++qwmWrsJtlFV27O4Sub0xu6E6da
OVMuFlVJ2HjFMUZSlfXoQ+JjpcrRaiaCZL1yuUzsrjLzXyBibIocSjx2mKV8sUWjuK0pDgR01W8o
MfcTiAkdM61RrlqNvbZMzQnCfn2KMN5cyEvUU+411z0kGHMamPNEdz9re7kpMO4wp4b1ory8Wrl6
ZPXvpKx2CG37eBC7Vvl/mXICefe4rx3mIMLVcBf98AsxDgsMRFflLP6+fv0qZfNJ/58fbaS2+89/
v36pw8NPyo2OykLZSrdgkLscXX6/fpmQkZXGzX94Vqnd0n882WCKGSiv3It+ZRy73Mx+e7KpqSxH
yS2OY3nc2ey/8mSzaOr9fLT68WQzKN75/OmQiagC/fHJJuupIz6fWLfdZOvrZZKHcba5eQEXw8Rq
tpVlUgHu5yfKmlbYxfZHa/lXPWDO0FEJ2XRCHOhb0CQjNWbUVZ6EOsX/pR7CqZM3U8sDii2Bal1V
w/sclC+JAOdf5HeZne7oiB4Btt81NYDktKFtHKDUIJuYVyXbBSuKut+6LKjWeVBAlBmjb0uVPjkE
84HVAmJwp+LWia1bY3Q3AWq6lzfEahbrsEioC0Nm+muZTDtKfBvTr79Qj+6GMXaOZRztwHy/+7iH
Qbc8TuhNq8zkUmgRgl+5YIpCtcahT2S/vDp5HI3hNZskCxJZsjeHqlzVHWJzkdCm6IHVrkVt3VA0
PuYZ8YCxbb8amXBX1Cpws7l/q8y39Rg3t6kj6+NU4PEPAmSyV3CxyJKWR60eRzedWynA/7C4xO+W
L99k/kDa3sciVEc8KpKLSZx1lXTtZ4JCc51W+cEJNOKkZj3vkrLzbzuO3xtmHPiuDQlKdYxpn/G2
J+JeKoaE4e6EhFPptqSB7cmLL3psGbulTmNa2fSIi1KBlMaRR09hgWOZ83RvWVO+0YRAf09ULW2h
ZAUrgpdAVZGlJsRnTDP4RLsTXKDqiHSRlW/aojd3fWWxxmClV6hMp6VPQV4Zh36OFwxJ/ytaUiAN
mNQbjfp7OBOV2BiRR/puiPONntKW5+E3I2s1wa5PXYguUzvsAgBMqNstPTNC/HcgFv3dUDvJhuxl
utf1KAoljLNVZ1naJWdFZlUs/E2byeV64uru1o+1nofN6K/mKq43ADRU1jcTR6frxh0kO3YluvMw
6CWoBn8G/Fa/VzlTEiJxqaM0gX2sA9CTMZei1byofyJhlq9j56TfSnoQjHPAnJsVfc7E211xLDBI
yoHGSRSlTvDvjhGjDXt/xJ5IRnukrQHYLlOEO12x7mRcaHu9T7eDkyujBUQxiehVoRh5NGeKlW+n
AIlgV4StYum5iqq3wLdLwey5Y5FtSHso/pqZ39CkIiuRNV99ubz3+NDbvjYGeHt5ey0ITq+tyQ3z
tnEP7jzyFNQ8ufOj0r4zwf/hFfUa9CoFBUx+AAIFqMCRP5W3aHgcCZnJzk+anSbmB0MbDU4ysbvm
SHQsFX1wVBzCAFuEa8LMYxxEOi2WjVDUQs3mCAvGUCqfAxn3ocD48NLyPHrdWtO86855jbBHhsqV
zzDFP0eMk0k5KKXyUnzlqgw//BXltAjlucSZfmXyuyXgkqS0v0gZgmdY8mt9BPknA+9xUQ6OSAmf
9V3xvfMoDtIrOlTYPUhUV5zCKbUpJ6hUnlAmDIoUMnHCaYbsIJV31PLTS+UmeZ0F0kI5TEZT3A5a
fJ9jPelYUJhlfArqtQw97CmBTTVlrgt1HedKdlW8NQYDKdmiWIm7BbIMGLtyvHKsL87FTwMbFiF3
/nMweT7uFB6Z7zj8TOWbDcpBq7HShlTfk0cnRmJH21S5bdzHcSSVA6dNQdhP7WenvDlHipBKmPuC
els4G+KJ16XZf1RYeuXgPOMvOgeB2Ze2yzvlOSpirCrxl863CeoMlYMlzF3vJsEyTJR3aGIiEpCF
JFgZe61xUREajl/4jZoYLypCm5sdGHQsyd6HaIFFaWBVanazi6mG8T1dT7nB/3feEl+IdQfqoRMe
xtfYgxGbD706cg/qOmVnF+o8Gs8CwGTWfEp6kDGc1gGuPOSc3hMXuKM6zg+c64FlrOlS4F5Gnbcq
OPtH1BXRLZBiYHFxN0D3/IwGjuA8x7R51/lm5wOVhyQXu+WdTorl77PRP679SLn/+WwEl+BNfrZv
3Z+cj/jC389HAKQhRzPlQNub/+J88vv5SP8lYNWD3S0DdssPl/23m79PBJ8v0un+Ul3+A1saeVod
ZVADSMAr2+svnY/+PQ3oIyEEPBKw0kwUon9xtsrY50Ei/epW1/N4zxV8l8TcULmwngZPztgvZnc1
DWa1s/QFQvk0nMsUDKtVFu8tkMyw07o9BHZnE1jtvI5H11qldtKseTgvq5Q4NRqwD3WucZeQC11x
buLgKXEWIPatZa0JdZ0ooF3hx+79KuCRqyW7Zq6fIj8mEdf410s7Y/tUmdwPeX+MixRAje0cF1+A
MLS9a2BbYGKxjHrhX4LRy8KyFZdeb99Mx+bm58SPsgA3NNIHR1r15DqTy7Vbek9TRFHOsKznIK+e
3Emegsy4Gr38QXOK657LO9Z08q1sIZhoBt3WaDx5oGLLMiUFpL2YpHGxzre9zmBB19ZXtVc902e4
ASGHxO1MOzmBp+dFAWEVsHw55dyVvH4j3CVZ4QnmodVOLom/Zt74fjlspFRs27S4bVEV6Npa+yoh
Hs+mwc2YQz6Jl9HYOVm/Td2GqQZJZD8zyrVmLmcrcj/Mvn7IhnlLsQfBNy7Pk+0CJCoOgp4c1Mbu
7A7et6SJYrgv87Mr8B8ViSnkFA/OroSRZ0FoQtPxOPIul3Yqva2R5MfJAGKk1s/83vzmJq1BL8yM
oN4Gt6n0zJs88vaTH983N3ZycNnHoFN9cuc0XbObuxWeJHDW0IHql3TTE1+jE+U/Jy6nHSJoJjkk
sQNkXq6yovpA3q/CtCdSajYG8jANJ7WP1c97AagKonf63rbWJ2TCT07k8T5u7BvVDpskKYZZl5B+
59x+tJyMIuzs89iJxLoqm2PhuIfcMahcJtvWjxlXoI27mafJXJuxO+/8H+Dr0hn6zSi1i6jH78GS
je3a0TFYdZYqlsbu8Fubo6015pqJon3gkmmpzAi0FUZPyHLo3lQDGKx/vdETfRB6FcqOCTZl5vLS
5XUUPFUWSKFETWlw9Gs2IognKhcDZjFdKB7ljG+g9pCmdfK7QMK7AP+p4JiHMnCvItkZq0KNeOQx
03uelw8bn9GVraXGPlze6VtNDYDoFM5Os1leIrZBLDUS0rMWQtJeJ5xBxq5GCVsl/UihbmHzwQb+
GmNS0SOhH11MZF+T+hx5zlVSsMlVq5kSl72SvHRfe/ZLuuoibBuEWuuffb+IDpNb3UxRjuTG/Elg
Vt8pfxBFZRilsIt64xFgCbVJy8Ja7aeMTgPtonHiMFm0HfMW6fJqqsGVFnbcoYNuJKpmRhnkZSCL
6G1WbU9zbq4jtd1SMuIyMZ4G1VPjrJo8anH2mQ28ZWD88tpmAqYLoN6rTRhCShatufwBisBXoIZj
4onXnaW2ZCrytDbwBLb2aMnIuCmvNHNyrg1WaDR4xzeTpJVLbz7deMEShZOarRmiCL5vy5RNMspr
2Wa0LtTMTR6I+6Tl1ezYMWNwOfhPO+I7TlcX4sW8XOjPEGZZUFOI2y7rmj0dq2lJLvM7sXdGjFiT
zO7gOUdbOUNFq2gN7KEfcS2jqkK1HTR8cyls65Sz46NH+gM51CrEiDkCuzQ31rJMYtVVbZve1pPR
PmcBYtDG7UAir7shPQ2DxKTusbNMFlAidv5S0b34QZzYf1sBv54JrP8KYT8zAvBnBwL1VT8fCALi
9zZpfsoxijr0+4HA+MUmj6+oKTzjfzQH/imY2PwQEj31ACXT/1SvY7yCyWIncNRemq2yM3/BCrC8
f+WmUN1TOg5/Cp9NVPyiPwomNtCU0opmbnP5SKAFXxM4it9k12mUr+2lu6COPkXI5iZE4R0FqSdN
JJR24cE6VbwLVDtLZNO3tofyYlXI6uh3AfTeIYrXbjEdLHpVy0AiVXup4vgY0ffy41sjDdi4FPTM
qUoFPJEIjmQdXVW0wO+5HaSreXAy6qL+i0dHdeMDDuQW3r8sFX03E+ndcuRZjL21aTAW+XH9tMhp
VrrmtWJDwTjKH0uNj1mgv5+iBoy9mN99rWbsZsiAmZvTfeFPHPsn+2Wctad2wevj04FdJBeZZYHE
587zifP6nWsQ2plKLMgpSkMPg5//0X05ERBFueCHSwQDE+uXG4NYUW8wQ4gNJOIr60PPnp35nNDY
X3X6Wjhjuyc0qa4MBBlHC3WKh7o+0bBLLKsPa2seD21n9cGbIexIQplviz1GLpGgqcz22L8Nq1uA
+Xp7qjd6hMhO62PiduznW32eGR40JU9sV6CAz/HYX5K5QblZ8vYioVChK8iGayvQZlNR5jv1iEga
1JKizFjQaNznamHPaxyycWO3Npc1Bbvvh4SoelABkAgiZ+d643zhtQnYjjtbmI5yneC3HIMc4GSU
2eI6cvQ0HIOhOyax9HZTC52utLkzhw0rVGjIFspwNnyZQeXvWCsd1k0GoxSu4rvs+faZfoDHokQP
o+HjFi5Tted0/MklzeEYAYukrHmptpADcn3o1hQa87NvxdD3+ABcZdosNgFY+Z2do/pksnN2XOo/
i8kIdjAuklUDUuMMEjk+8i/H0TUayze/othnzkLfR8ST+IZpaICIViuLVGIbQkBikqTVyvcaIg/j
ReSiOqcjwuRr7Wn0qvEUj0O7A5UFO1NF4+vezTd88yAVd84XbREiX3PyZWi2tQPjrCWMbxUWJdEa
Uh/h3HdA3kyboIwhjyCdxEWLdFbbkuLFaGj8KUt2liAzv/OeAxmTmvp+XOgbbJLUX/TNZPnTNpBO
m37lJEv2vmGYF1r7Da6B1536aNHbk1WLdQvOnpEmHCwdwj2jVtm2Ano/a/g0+kJdtgrGatMlRElk
96LFzVOumPkkLElwwYzdSEXUT3XY+t6cPtLBxdODuk9BDm9BkfhniJLk20D7LJRyFKrfcSGMVArf
HwzuZwLPf9AhnyjA/wTpf0xB/juw/y0tPeY28Bp39HaWmgfA51MfIsE1/xSHgQWBivepNvC66Av/
gQ7VuWFrACPGQ0ipbjzd/jBZI5C5Romhnc790voHn8WCiuWCDqY1ybCIUxpReyq5yBWoXiIS4MJB
+LErMNmAcUsA5N269ZO7mPQHs1WkUAY1neDoy9sE+mJF9msPGvCYsbLgW+O1RsY5nNUAw6SmGEpe
bApgU67sMhDv7K2Vr27Wp/vYkgIKA62HSSlvyO0OuMiqowRRvAedw2eWPpQb12rObJPdu0rDS5Wa
F5foepNS+DKl9XlK9Zu13t3WSgmMqjG+FEod7Hi7XAb15lmUdtiq37RXemIaiWCnd7W4y5XaiFgA
pkgpkJ3SIjVnCna10icXpVSmPzRLpV6qyhfkGBRNobTNQKmcbut8AaRZwsxeDpxfbnUE0QJh1BlQ
bK1RN3eWUk0tpZ+CtxNbeq9oqkpdtZXOairFNYUfJJQGGyk11lS6rJ/yp02UVmsq1TZX+q2bwE6Y
laarN5GxY2AmvjhK8SVnwq1CqcDQYPGxlDLcKI24LHKOsEo3/tsa+tUaIqXyX+QPJNX27X9gEvV/
ln3ga38/8MAT4MxCA8YwDFygnxUQeAL0HFAz0Ec4DP0hoGcoQ4lTjekBHPg5++D9wkEIACS5vv+P
7MOP5Msfsw8KTqcOV9yOCOr9iwISFN4SsFYtb3MpwGit26aCUjoZ9rHEjOHd7xbf5jTmIjlpV37J
dSJ1CqIIMNoTAv3k01MGmvtT5k/3Up+u5ghYcZ249MBHH1SKWCBQ9Y9jMd94hXVwBH14tpo4VHUc
09lMqAd3PbHSJRauTwUaPGkMaKZeAEXfsr4sP+7X44+IqcjAbwvL3ICw5jTh21vS7j6mPBImrvrL
7NJl73J73qCSFqHe1g+2OwDJHzSTUwXj6vWir+exB5vf0FEso6ecEfXedFm+7LrQEeO7O1DrjJoi
dAzvg3U7OL+ueHah3fDuoQA5+VjLPIlgOj27sb3zvZo362hximu1ldUVvI+lE8rK33cTsejZRm3F
kXmfq+i96KdbvWJCAhHjReiBWBd2tsuy6YB1wBL6xCBMK5Fd/bj+Huvsa0xG+VzzLOc+imLN6s6n
G5nLTZfNb6J2ohNqNlA5x6Q1FbsbrfSNOxPnKrRBknG6ws+uyBXsxjE7GU4jue0gO6H+tv0WNB6t
dU9wT/OqbT5b+jqHULbxEy5dcbAwxWWW3fWs+1OY4efTGRd1GOXavO55Na/aLkswjcCmzbqINqXe
iRMX/nzHM7G/Nx25PDJ0CmVYBzVE+1O/ZgaSebYxy16qlklCpHb3GXmguOtaozkn9G8PPo+nqyaI
uLTOeXUEBdTigth2esV5pFYkrOlqaJcchm9Bkm/yqdrTT9SaQ2nqBBtJhCYqG8rJz5a7yDfdV42j
9ZftIxQUKkZNe2PYgExYz4UJYVSFraWKXXctjCly2NT7+FcfYSnEVx05bV0FtrVmuGlVhDtSYW5P
l7DYVcDbU1FvDp43tgp/N4UOLVHFwcmFg1BjqUhFxUsVGndVfHyxMyOsVKTcU+Hy6kfO3BT33q/B
cyLolQqjY47JxwAQ28ElfLVKVGhd84mvd+TYJxVoh9MVTiri/veH+a8f5lwz//OH+RaXpPwTLIzO
V/32MW4QmXZ1YBdsHngWBJif7q0I2YQ2GDVwdX6Gwu/+JmR7v/D/SakZ1o9w9s+MXYf2Bgq253ik
EdXV9a/cW71/j7Cp50HA1rJncBemRP/He2tWYINOfeTdEOE5xn0jy+t+NGe6z4Wsa3BrYlh2TPp0
wPOKeHqsgCTMYRXQxYW6nrxMVncPL24Ok65k16UfdrwBQpbt8b700uRVm7scgtN3Cz0QookjNrPW
AYkC5UTUgdmjnAvtWNxh7D+NQ2Vklx5n/Z5jGu2oicHCCH8HUl6sC+2GBS+fg4lsMJG1+GVmVeQc
RYlwz0k+e2f6rV2ytol5WSsX2bsKnajQywcXaOE2AgM+bkgDRz0ETGrnj4NNo4xp3/EpM4OEGENW
7UWSpvPe1Ntr6HbHcXDu6FAzw+SVj/qSPww23lyV1B+m0tHdZOCzmapK26fgwq33RFG+Ws2+cQcT
aXx6HBLhgHykxy21UCsgbMdKPrbr2gj9eUTUKj17wwyXGivy14WbIeg595T7WG2Buztr4rsZeA/F
YH/qNhH0ruAfxfH7i2cpNAfy7Z7bL85bXGevswWWLBvFXl+CMWy4Dq6K3H9ocsPcVmVGfN7qaZml
5j5h77GUsg2LURyshGCzU5CegO+m7tdZuTFZIdpk+nwkQXyJzIF6sJXwmWSb+yqbDRTqjBzwPJmH
WRogAQf9u87Ckz90BXRGJ0Ka7XZE7t/ipDq5gXfqLMJ7gAR42C3BPRsvch0AVZsi7bsTLNtcnw6M
St7QSYQpFrVh3VI6K0r1CRvVX31FW9wVLFfRw/sYkwDGylw+85LuSVlJb++qZQ1eXhe04Z6LZHXT
I5UwyxCdwU1enJixXkar7qJaQ4wEWL/Sp5atJa5lKskRJk71PKQmgJu4P/Z8B3sy2pRkxG5ycGRc
vak2S2kfCvL+U+M8GV1/E/TiIe1B3Qq9eyzi5E7R5xB9h50Ru9oBJroFA669m73oAZv5sjQDbxGD
pyEFnpiqoZi5VkXnIVr2cx5pnBK0j7bRklC36ww8DQ7KYgQ5bhIngtjpODXodghsbzlWtXebwkvc
Uowm4T+U1rqQucIzjVe4G98pGx3F4LMi2olrKCccJnTvRD3H2OmBugSQIDV4A4S2kb61ej1u56C/
DVr7WWqJvuatLlfpXLjrZLC+IOAs4Ieru2EB/zJ4JCepD3me4pKWzG71mfxmjku512xenZFaTOhy
8ZnP5gJ73nt2RueeePV0kFVG9KA1D+R2rdDy/atEElNx2f1d6xTet2OT3orYZVI1uytyeRMnvLbH
xGM6PWUqsAjOZlw2WzdnrmOsRytsWsSqpnQfRoOjmd7qX5Fpv+pW/kF0/NCMFhj9uGeuQzM/7U57
7FSZvCiKx2LszY0Z0Aube2Mn3OKlmu2To1WzI1WykGKYZ0/uxUr92iPCqs+ggZt3ayTobzqMcKpl
8sFprl1t6jdLxniJXN5by3xp/MDaB7qCSATeeRlkGfp9gs3RcrnE72TqLJk/GDfuDrrX00bt8aFr
Pd/PejWjt2Upn7XWa02zvC+AQY4g4MgFRGMI5jHlqleXbF3rNxLnZZM51qdckP5Kh+GG1JShZLZs
n2UlpAXNZjsKTCv3YAZRSJN8aJJ3stGxwKpHo3MjJofJ7K6ZQl8zk9Aym7uxZB9g9vHbDECEmYBm
ZPmCuS9rDoXDIt2cJvV14Y2HuYhei3Iil6zZxYYEd7yaAHys6zb9cL2SkZMoXTZOGW1j25r3btk2
h6q2txnmXJh4br71fWQuPg+XXZk2r63vQNLUSAJEu4pFjEuigXp1KhEwIQ3aKgDStZ20kmysM0cX
tzSZNGtgGcXWFQduHMUi9XcdoIaQ4I++juQ8H5Nh+M7eG5uB4AePZs0ko4OSQhoyLtEDy+XbMhZ8
b5Autw7e6UpjO2MVg+tcOb08wJ+kO2z4hFEdEIh5cIyC5aSJpQDACf0iyvD7iog9PO/e1zz3auka
bIkBp3KQ87kekofSXGYeiEa+rS1mDoZEa9ep1X+4DdehAjF5N/k9JDWD+woL47SP8+TcC/NcojKF
WSXkrq6XE6HyKzbqQ4KxZ8kZemOlja4QUkSXvPYmcNIPH3M57yLOmF5AbQlAfphDfqosf95wqpTr
eKFWruvjozFkb1WmnfNW3GcxYBOqD+4mbQ0Gsuz6MyezGxe6ve0tm8S5sPklyTGFY66/1HBzV3IQ
N1EwYHwaugzHpo3WVZSdSp8Eezql8WOTQJYYoxcXcuPK5K0LlveL4NeLYzFkl/Q3teSlbMPWiBwz
2ECEZbevyB+HyhcrABzYVpp2WfRaD7WchTbuLAio2SnnvrW2eaY6muQDzDAglXTkPKIrn8m+HbLu
kUxVEDYZIp9TPhVzezOVJnbyXBR0luw139Bj0xknqj7ftdr/GidEYJcmGZTpfdSln74mt91Q9bsO
gm1X86PMjj3qqQ7e+lSkCIyDhw+YUbpP38FermvWPknIeAeie+pV48frzm2PSzcyjJLx7SnYBEhZ
VpoWXs8iMoGmmPanxZj0Cu7fvUhjfjIf4BIOkGjpkqHrUGTnbbfj5PbKCewgJoqvnHRWVu8eF6cq
1gPkO7fxKZOPT4bFL15PFVfg9JQxCrWziv4DEMpT7EXEtPHkUBjxJctHym00w8p45yQGt0wfRkAm
vrXjSJS6Y4dYq5tzLYIr+q9BaOGXDxrSuAfMgEtfsSP/w+yLmW5cYyxWjHdg47EWvSW0yLTSYvFh
0bL4Ixv+an5J6YBzJ90xwRXTUqeH9uBZyXGc06/EcMQ2Hv3bGS5Rtey6IENc3bVzGRrTla9lDyib
zEPasMRRJndpKhmA9TjIWMu75Y9bd4zffVdc2SYFLC3SE75ZzVtVmXgM5giKtdZle+Lt8xDPE+ZK
7z8aNVuPLtfkjilWaG353iQpKfssjHyrvpRuW8xrvRQuRqrtGNpTIqtKX0/cZ9tjxu2OmUgB41Qi
8kptvrDd8FrqjtBCO6qYt1u8UUBRzo7VqPOnyIBN6xrc0SAmdllpW81LqX5k2rgVdhXaRTaEkaye
ySJR3vfxE+QcG7BiU7j55f1ouzQaLLJqaftkC0rLYHT4m1L/CpzgkHj2G6Xl8ySQPROPnkMi+oJt
DN4hWWYjFozSWFGlm3ic0ArOdB5sHY80vn/qe8fZfAioHATJVdMa9iqv7XDqvRvZi9tg8K6U8LMq
u/TNCGZm9ewrOtecbqr6nWcL+VhGKrPS/9YJYR/7Qf9k86/cLalOMkP6e1sOZ7Ir2C0KbM9VYsW5
ZgzdqPzejsXeomK8Jia6bBvwgHYDeT6Tm7InZuIU1bjnc/cqGK2dNzs87Ehf7gfJOzo1+Q0dFhkz
G4JMxypi2y3uipQqcF9Ou4GRvWYNMKXkNqsRZJCAYeseoAVaq8CXN3APGzqk/W3hpN9J+pILNAjr
zOKmivUbh91vqHQ3tnnrsoSlIY63rRYfpV49QTM/9Il46b3+Wx1U9CqwCWDKTq53P6Fvc+69mRvz
VdS0qTFZtlYRH5bZWw7pkL/yB/yWqOUcj7PgJulrJI9Ce7WLSj4Vi8QDadLTBIeB8WIY8XOxXI+S
wdXGNZ5rqSOTZxcYmW9Z7RMA6npeCcFL7lSQZZOngkmDv9XZX41o87+G066r79UHd3e4Uv18+P6/
/++fX/T7fT4gfQYvBpdXFaodfr2ffWhu5RY3euqQ5k8MGtvgi9ii8H6s7PzgNPwjt8+PQH4l7G/p
AexqZV7/BRv6h+j6B1EWXRh6A5Kxya9l+jQOfm5ENlUDPTxhmKUZUsffN9nIo8fxbg28wpZjjRZp
y4aD/OgS5UTUDELSlXYUzvDCEer0wujvR9eIg6+RxyoOnRW9gbBMdeK6Za6d+Et30dEg72lsYggu
8dnOShbquXYkteRCAf+GMQBnwaHKQZPjUHIQVNnWmdng9dBj6hCxnAeumaBQmmSPswCIOod9zeoh
yzL7Jm4DkPtFxzO7GfP2NsbtbJDNZtaZY1+vMCV9N9SZI9c+HXKtu7+1rB9alvFfMxg09Eiqf+//
/dWvvu63V79pMQvl6tRSeJHR8ef19furn8Uo2ikOOg62xY+oxW8pDPIZCEw0Mi0dR8IwcTl+e/kT
89QNhlr+qYH9hZc/v85PfWAHKoEJWpAiMJQUE8fkX7SsfiBtzFrGeB70I+3rdL6rul9fHbCr48/q
T/rAECn/8JvwtwDkzC07ABJC3IO/7x/fYgYTbWmadfXZGoMU8q3tdFRDEsssrXNC3A3eUOVO2WWp
hOvfqPGWZ4hEZnbxdWdeJ3oxmcjT9bqD3t8ksMFJZbgsMC/C4PK3WOt5zs8RWyl5pbHpEhCjru57
vSallxibpfHuJtHtwXwg3RdMD4jeCB27OcIQv9X87D2fszcNs3Ko6wOB72fSfxzdRHIb993GN/OD
l/CGM6b2i3MsrHcxhjmEJIqfUP61wshXsOf3jeQ8MXhAE/kUsTri0eVz7OoHmO94CkZ9bKbyk3d4
wqahvWJS8jOqyXb5BUZ1pU/UM7p2Sz3wKuq9MQRAR21oZKy69vT3qSuPNM8LhIzyQRpkWUzzWztB
EzJF/5QVc8eO9/jRufZxttty26T1dZlMYxg0gBMcETnrqGrvQWDA97WrfhPP1jUD8eypdtYlH7He
Fzk8a6mFaQAM3zFx132z/0q9hps2LXditdW5rOyTN7b2piZkucqzJt27zDytuCfG6ynFOBa1Sa1Q
Qq+16+XJgOFp8e1cVYN25zCCvCrM/GEsAtJyfvaiNa29MuHgMmqQ3uT9aKxZ8zx2Gox83QC+Z/jx
Vdx/WGm1xbdfi2I01/bUcBrPy6dooUQUNWxbV7FxbP2hDXviHovnfNQCL3acW4LF9offFcB4U/Hl
FxyVYpthnaYPIGK7X7YY12olXjQIQkaH92u2CWdpf13FxVma3buRpiyy2EiAVlYe4B2g/sh+K3y1
82ph69hdT1hF0wPyA8N5CLRvMiYTouU9rcOkVTrlfTz1TVh58bAuI1YobYLxEuLWomhQgZ/em/Qh
IfH8H3tnshw3smXbX3k/gDS0DmAaLaMPBntNYCRFoe8cPb6+FqRSSqKUkmWVvcGzdyc5uHmZHoEA
HMfP2Xttyl+3fYhVqrNwEJ+IoP5gafGk/tONldHHyPa8ID4wXpZzPwrhPljqnT+UN5lpFVtYNCc/
se1FkAcErff9hzZKuHu6Etlmx/Ww7fEpFt6taPE9tFH2ZmqdWLVSvYv9hJoUQWGvTAgev6ZXoXyq
FecJww6jbDRLtqHRge49EPyYVUSuL2sDwU8BJzpZdqYsPaAMtCdHVytvLb9DryFi7nI3ie9i4sE2
1thHZ2F0t2Wpw7wq3nhbbcK4SNDkFh8JtaAFSUNi2dR0TuIOy7UMowfTrHFLIAerxD0skn49BEO0
T3POJopykU3kTmSzpMSSkeJfbhEDKzZAE2KH8nmVEHbN8X3ug2/tc8RZ2MVhvwFmxRNT8GxO0tNj
lduPgWO9hWpfzqgcSjqg2ipNCgxvww5e1LPSN7uuDtH1Nk9+Q8I5e85FZtoSNewl14xNpykXvCsL
ofj3eiyeKni2uabu3I63ve2ciYc5jFW9Gmlmeu7wkcIcJocdLeIK5gOWjHmMStWuZI332FrJoj3a
+F9lCXERreWCjnjHRIAjWYTA3VOU01DL+zR046WnV29VHaz0sn9Qqjer4U5shb0yTLxgcw/DLbG5
XofzOGoGRVmq7WDf237br8tS6vPIR5RsOUVdHGPDeExzE8HrWC7tNiOKKInYt2ZxbhboQjADrkFn
y7mT4NJxDKAmZbWSdffYdck9GKon8niNa7WxxjMvvHIlk/K51LVNII2PveecynE4uonrT24gSiz6
OwsyxZ25EiXhKh1T99Ykg+fgp8FN6PsvdJaVeRc3yU5yKMCuX+OCyegpmnXwlOn8il1wG4Z5tHAN
Zdu01WMDw5WWkpGuPIXhdsHnw2XEu4dAFvaARkkIO6eGOymopm5FRHtuGFAV+RLwDE959eC5VUOL
xSbaK2ucRZnUC1O07VWr1d2aLgRZVGibEIGoJNwnMAGgqtIASELrqmO+fQU7j/CY+lKZyHuEto5a
EyCe4r2G6N9mo9BuQfs9Sq2/8S0pNq7ZPE5qJ4bko3f8bq72i9cuU7Lv3uyfX7pkKqDGFQ4CK0we
P750RdIUFLtlc86BkgrtFDm3gk9tMcCPzIffr/VjFTGtBVkSpgiqC+pyzZ4oj99F/VVV3td6V3Vn
x1t68X05rALl/n+3xPQRvlsC5EOSdE3SnQsezIH48KD9YBY3/4NFYCcRroNPRp+qru8XqQL0AVHW
dWdD3pb5vleOSrv5/RI//yxcqu+WeOcSrunW+ZrZd2fTuUnL1ZgCouhOmf0cDX9YiQnquxvgx5Wm
T/LdFUuC1koFsvszdPiZljGW0LcNOO0WAd12RFH6+y82ffBv56gv9wByYlh4KgIcprc/Llf7UT/K
Wuswnj1qdT+zxa0f7Ib08fMy/7+zDXmEeED/eW5+Tp5f3+TPJ43pr/4+aUwnAx2IqsDRiNeKX+jv
kwbnCfiqHLI5g3/ROH2dmwN0BfZu8tOBIALpyl99Ncg7yJ80ixQoXf+sIP9X6BeOpT/cIZ8N8hZ9
f6IOHB4tk3P7DzckAPbWrE27O9VAiNjF44e8HS72FD3NW+GUamX0Su8xo/oxbg0CGOetoXg3jt19
Yr62YihvzsYp1pocwqU6BV2nNtbmUHov0idTok8wirZNdjHdxGdkl3vrrvUOzhSeHRT2S2OEN6Id
H4IpXlufgrb1wpz3OUGOsV0wtSWMO51iuQ3yudG93LAWQHLsvbJryLWawrwjp4nm3igOoELvTAFm
JYv9j1HlHEySwFWzPwVQx3Ob1yYOq2s9UNUV2ncGg2Z77nVe6ujxxQzoLQKshGoAtdc4lnOD7sMG
3xxwG7ph2hRPDqedQBh6sMtmKIylEXtrMcWZ4wJ3r7zCvCX8ju6nu2gMY9nQiUZXTAg62RubUaNr
T8qYMzlt7i33Y5ojxdQJvyZE3W7rx0ZlAl9EGDlBerezZvCSmWibYGb1wxu9u02r2SvbYJt11eDe
11JGr44yT5yE6ghutE+Ie6TbJ/ivxwng7+fyPlesl6YZdhjo1ko8LjgQz5kabMi/u9anlHjfEheH
K+SFjL2UXJI8mByl6V5EqL7E/Yj/RHU12Cmkz7t2d5fq5lNELL1ekE9ft5m5KhqNxCzC6zXeZpiP
srkYVTJj8E2T+7YbCbwvCL4vGmXny9hlopq8mUrwoW+V28Jo9n3QX2pCvVShPDZK9JqQGTCzrAGB
WuHbszHJnaUOeccehhu1oQ9Umu6Bn2nfRTZj02jhmZ+Yq1B08XW6Zlzhw6sWuhne5AFHocjJZ6rP
ESSi8Syz/IMB1NdIq2GeDf2z2dBC5iZHYDBh6Ns632tt8tHjjnSlwbkC5yPKjy3E+6tc1B8ZRTIH
Coxbq/LXfhgqRM2UZ01FU6fFbb+AbMFgRRmihRI0uO8JDACHEt9HNRdpzBTmKgEIIjPVLzWB8G6R
Mi1Npbus6qzADNH5R/ALABueQD3gxjOe0ppBEuGUVwHBdbOxNu+wRk3Mf+luvJhCMrerfm22XjhT
m85EnadFy2GS5xN4/ImMltrdM1OG/eMFXjQsycQsx7uWceRkm2bqRL2EQv+GUxBHZcU37kMzmkLj
mxvYiRwZOGz0HGYWbtdCu4kwPGTummzGagEriMTXTibbED/4MiXtiPem8ZS3VrQcRx63JOCWzroa
llyPagLdzhxn1YLY2v7GQaQ8xfCc+mD8qPNyImPFWYRhuVKhBTRxSpcAkcsyE06wmCJJOUcde9Oc
0XWej6rzEFoZqkMGarQKV6KuN6HD6RxVT9Ln5yRsVgy0wFMo1S4vKoiBbb01g8w/JthTYlPccHW1
NYLrYxXJc182d27sXkkD06jvdS8c2+/znOpbtTnQeyUAOKgEZTmOTGzCeyugX5CPKMYJxDp2XsuM
AQHLPA6SvdohNaLpNAfNyrygtp4KBTWIXipLacSfyEW+KyL7vijDQyLNF1r/DC5Tm2a9uxUNKAyz
DLD8lR1y8dpX5qqnvZDMenH0bM+Px3ggGjtgsvZd2pIFMCZGDbjOCZalg11wVMwFcxUakzEH3JqH
aeDRw7l6rAId2jOkQtD2l6hhF9C1rarZO3SV+9jiBEs7rJ4lDN6A66XED4RpMmtshwknFnmqyPpN
CUakk25JVlPj4mogZzXzXGXZAjm60jOi/HzvWRnSfRCPd8rAsAx0BuP6MroZkLtiqe2uigr9EJ3/
eGH75Ss2TgjWUi3meZrdcYjfBUXxGo6grHxdTW/7jACvTL+zJ/GOh1NlltgeXHwMno7nsG10Gzst
vIUnGo67vB2K+tXVO1TvacK9VqVNZ80S1VfkVqqTcwenc7YkZ6taVR65kx/0tKr/L4XQ/b9Ge54O
Fb+riA5vGZOH8FdiwukP/y6K9L+cydnu6KYJVnmi9vxdFJl/UdrQ8wQQNFnSKZC/tl8/V1IqjIov
U4nJy/5dUWR968r+m9ar+LEgomRWrclgj19XYKxDufhjQWSTAuOkuq+cNAUyWh1qc9Uc37wOtgmP
CD4yQ11ZWrSSg58mDOoLeXER8V3r9kSAI/Mlsy++j3qVId4Abr3SJGb20B5eLcWpkdp56UyfAici
YPGzSndG8l85bVama66Re0hyQju0FHWIqaZQ3BW0oMesiNVXvyTcotT7YpVPgRcd9CZcqy2hbzn/
X8OmNwcSSH4ANgSya4rNGDlubLvM3kYRjcsO3y/ofjxKpG00OpK/XlfJmiaIA+wnPuwJ6UlGx+AT
1pHa1jJwzfboTEEeqYz8JYMfg7n2EMyGKfBDxj09UgczLU/y0vH1kW2SgJDR6BZs59U5QgswA4GU
PLWONdxo2kOI7YPcjfjIVh8s4ENdk09FbJiuIbOOaLt2IdVL8VqFjMUdQLikRdczZwozsadYE3qw
4Tb7HHUyhZ7EQ6UuK2tKQiEsu5s5UzxKW2D65mdRTrRDh5mFlh5tmzGvGe+WNJtmcZv31+MUupJV
wDd6cljyKZDFnaJZvM8pLUROhytFIQGU3kJGwy6a8lzklOwyfg556XvTWVSfo1+iIBipyBBn36AM
LdbtZwA9N3a2IU63XacVoSyeUJxDaHbUdrXrHWJaHk520MrGu9aa4In4cUbfmXj2ZWrNuirRaVG6
T7FW+0uvLj6pLsx+gIX7xAtoAUfDKVHjnO5y+ikYrUVp+PVpSM1hntomwDvpkHpGCTw5ijeyLe2t
boGUxdZ0w8SLnylN12bAP1zpzLXeolAxh053gfEVHR+g1huqCdl2unkgN17ZDlSNWm4kxtn6PCXg
JeszMuh5neuELy/IFaz3IIzURcONdsJmLVaytMqdMPN8oeQ5jviOFGJnbNZGkHyYGLC1Cs92IDJo
CxXCINLO11YW/k60selKSd2PcPLIk0iv86a58xTjUBW8AZDTFEfEpMNGFzKa+fl4pViwdFO4t7dq
5JFq7LzVSr8LE3uHv24/BLm7tCOgEv2wFMzp+c4nZ8j2FplvGLp3lhbuUyyo87CxvEPmFNUCEBHJ
yoF/Q+ywz3Aj2ciovYpLfiQnsLdFN3FggBjN9Nh59huUS7UIT32b0yzO4IordZvO8SvONZFs3Npi
vi6fU+kgwOFElDufBLaKpk5X5LuuaIgBEwI5y8vuUsChDYpoY7cmfUrS3jRwN0FtYf/rkzsnUU+6
2dzRLGb6CDdMnDzQI9i/x09FqV2ssdnYdMgMAsFFDfdIDXqUgPE8atvnQBhrIdtlRZAlggLnXMXZ
xcn1jy61FceeCS05XEwFXUVaFgfI9SslNucFv3EaNUgRNJIkU5IFETPBe0pfx2G4JTwxpfCNNrIJ
zmPen1KGDARcTbmwV8C/QCuwfGKp1wjs0BUMc0Rkm8xrFqT+4XpX1nRfr2yBULOgVq/6lWKpE0ww
fBXOpJcurhTiG+LAXg5FfsowUWK0oCSvCdLCj3bWYYGGrX/Vq84izZU95ztizMPnstFnQ9zPSdD+
pJv63JO4zFy0dHXyJpO33GsuaES4I1Xqb1r7HRrc0l5UOBXQqiPgkHPTQz5BQ6jCT2diabH8/mL2
7m0SjfoC1QgZO526Tk05dyFKziaGDwO3leOSvFyGR3a4Feknc4JvF8KBbelXwcbQhis6Mo+qVqN+
cm6EKB4B1198jqVN+jEbirdSpSGI/2hmG+EqFAVFCrI735xA+TTNg2uy2w95a1x0L8U4imxYqgA3
UCmq6pXitldOpazUILmJkFXUlnYn+aQ2PVTUhsXSU9pdpTYrHsVj5TorFFdb7N4sWC5RXvfzPqsg
D3h4FE39FR37I/8pE3Uz8LLKhAgVBeXCJod5yLrnKqsAWCo7BOqbERxqPiBHBolAo5GXRFBQNKMQ
Reos7LVeoxBpsg81oIOhsDe2Tfc4gHKZ1/IqIy4Sz3POxN1da1H72En1IZfRJVe0tWf2yLJITNXc
pQ/oy64t7k57jWfrOsuTXTHCh1KamyS0r5zeO3lTuoyZbjmNHIKcIO6soZOdIGL01A0PGNMX5zqS
7p5Iq6dCJCRrA+hGKXHnSXFdyeqUVdaFaBB15mjVTQMJtC0g4smxIZU02SeWvwVbrUK89Q9y2qjG
HHhXvdOlhcKRERSo8oijQNVNRU+284rsThbDFkv4TtGR9CDy8l58nKA3VUXu86jXVKZIpKFxoOHi
xRN9xM10F9WpvdGZcXDwrp/Qcc10M15EIC6Adn0UKZSwunyMZbChajux34ZLVcZrrat2BMbzXKLa
46CkPQVWVaxcI75NQefOyh7LlaGdo9iJyOICHJ5j36JdfeXFYt7pSkpadY46h+MA59G5NuhT5g2p
PxBlfLGOvH7bZ8PHQgEsh6yqlhYjJcClqUfgK0CYZdP4SxkokGmoEOK6mXNa9xdgO69axfnYtvA5
QnWNDXzFeGcJ1Jv9p4oI5u3HVY/PlkPPTtbWbW5xRpU1yQ1MemuiPFFeKdtMZ4SlJjynWBS0fJMo
9WFUuqdKFq+NI5d+hGHJS/oDce9ynkLn+eIS+sfZ+U+NdSpETm/ChrYA28l6h0jgwCtlE2bKSU2v
wiie5fFFCeI/dG5/akl/XkTALDeIOqP99GMZijhVpbWmKafeeZHdumue+pzsr0VKytp3FfovZhK/
KnjpNv690ruWdO7lg0Y0snLSGfObE8KOg/e4ycV91HwIQSX/frlfXj2eJotIhKnx+O6L6U4O7DjJ
/XOrfKibXem/Zsnr75f41TeiWqZYZhnjJ+inJ8jJc4ciODOLjro1QSzLBGlZ6q9D+Ld6/Yehzi++
EWHZHFoMbgmasu9ODC1Cc31Q6/AcAgEIDTQ+/rqI//CdpmnND518QrW/X+T9NIfwE0t4LBJJkJxw
cmBG/P6q/elrTP/+u9FEW491K1GUnWVxEBOvOr/17PAPi9AJ/+3XePfrF/EQF21ahedeIfDKmrvh
mVAoNrgnuqSiOukAIf7910L0TfiihdQHDu2PXysOnTTMIEWe7fK6VH1Yzxvb+/Tv18AdJ0xhcB/g
Tv5xDQ8xuAAxHZ0hZi8JhbGzfN4ld79f5FeXDl4LAwFDQ5vnvlskxz1ihyEDe1k8ZWKPRofNNmCO
fBM1OxPRbedd/37F6Z56f899v+K7HwvEpysLbYjOak+0dfXAeOMPm4E2fehvS0xSJ4vJpIY2nk4A
z+u7zafKTYizvZaeoz0RJhtengfSSZfWdXCx5ihXVkyiV7//Vj8u+fmAz8b97Tq+WzIACt/XRRud
W1FxTCbxErqMnl/9fpVfXzuTSzINeoX17tcSI8ObOlWjs1e6c13bTSniv19huvrfLt2X72Fq090G
KtC239/YRaWjtCLE8mxz9IV0RrX5IYRS4kfRH77Lr67Y9yu92+AwIxDtZovorFlvgXNteTfl+Ift
7ddLWIIAH2DRIKV/fIJCmueOOfrxOctOFtLLHt+w3og/vOp+9Qhxs/29yrufPpZtAJqXVcL4NcEl
YdCQNVdW3Mzj+qzE68T6w2/009fSVdNGZUfW8iTne09T0l3PLlI7T85A70r5AYxzOV5+fxv8dKO9
W4Je2vfbdoZoCRF6mZzxrRH45+Nrsv5w2X69hOHw1FDw0Gf7cYmo71Ml4aR1rpJXZdzQ/v7DAj/d
ynwHxwT5TUmDkdiaXujfvXrYOu1Oy8b0TJ2XNtY8iDZT5zxz3z5fq//MqTV+9X+eU2/S4k2Gz8nP
k+rp7742ZTWEr0JHk6JZKAkNk7vga1NWE39pqtBsRCufqaP81ddJNUJag/uChi1/+IXh8bUpq/8l
2Jwc9OKoWTkp/yuHN45xboJv+x3zccMywYFgd9TFJI+d7tLvbhKblKOsV8rh0BsFwEMtJlTlUNhw
zD+p45hZSAJrtUaFZoSqPTKti+OOrOY+QmkjoHZ5Or4NB4rnldRae4Dwrb/SxQIV5XrPUotvYi9O
z6QboQIfhb4yLI12rqlWh1yIT0HBFCROAU1o2cSuaRoCJyoIkjVUIiCFmrUf8U5slCypkaXiWxzm
vcDFHUU+w09iXFA9uXu8tPHOFWG2qIpuWEmL81ddEtCUpAxAUlfDHYyT/Wi2wza2wr2T194uDZN4
FSsuLg8XsTwaUEG/IbaGVe/awcKokYuVaBHnGiPzRdmj3CqdJluopvKUoDIqRJ9t7aC51USgIsrD
s4M3qJj77qAcZSRe0cQz2mJAvga18WmMog80Whm8m62WbjqPBJDCjIY7fG8eE9fg4BP4sWmC6K32
R/0JeSaeYJoAq1YkdAdoXwINnzAfZA66u1ZhLCg6VdmaRa/uLdhP6zDQod/LRuylbV87sCxv0Cxu
umC4VQqgqbkJqUt18mtbYGB0PZKuHNWEuJKjNh5je7KWMR3rh1jZa0EzQadkYD21hY/5WjViyFaD
Vq9hjA9Tz1ZKIU8Bv10L/j48DBra0pnia6SXk3mhdi7dOoWYDHp2ONBJFLU2RT3ot4reJOEG4Ne4
lW3mnsJ2KEqmfg4mKZeL4J1c/FL4lUBQtZob73Ws45qfjjdQTwjM/s/u9VnRP2nP/3n3um2AfKQZ
W/17P8v0d3/vXu5fYBaoJXm5Ww67xLfdS1f/Emj8ydbSTRJiprnR193LmXYvw0FW9sUGwJ7zdfey
/xIc8u1JFsYgYgoW/BdjpS/13rfda6rWTFUVhtCmSpft691rWoPBlip5mp5GK9ii2ePZAlzXx0BR
MpTULWGEcHeSg1nwrHOovVJxuIc4vIJG2ZDqx/hdv840PP+Gtu2q4jluzCcaLnjX6kM/anvfNa/G
AD9MjPV7Htj+UzUk163nxUuRps8okwR2MoS0HiLE+ah1yS4d4MgkMfhGJ60zwLQBjNDc2WdGenYC
ZK5uTsrQaCtz6cYv2HBXhqedgz4/FRIkT+FGj53G/CnPxMmxygY1TmwTSs8UpxH5R5HnyB36gBl8
YCMUb2NtYw2ka9T2xvDSW2Po3wZzPDD5ekm86rYbWtC/qIRy0ewEytZZ3oqTldvbBKI+ZnPrzmAo
M+b1hy4Qq6qVLQ0gSEid65zJ4CBOKj9FXXyMumhVKJo3b6wuhEiTKDNNKg8uIRU8vIQqWNE+kDiU
xwItsRvXG/p6VB6IX1eAmxg/RO6HHqOp1TZ7s4HBUJTXuFxXaQz1w9ZOtuWuGqO/ECQNhSKCB0J8
oaFBHEqUR1j1D8JUV5CXwDK1nXVlJOlLODR3hQIsIKXjzUw8Og4tl66MCWLsvR5mh0jvS5OEgoop
Id7bHAGADThAdVZe59Fds6DDDk3LUIJeHDUYzeEqWdRldt/wMTyECfM4VBAPdVj4Q3yb0mHYoA67
suV3iCJ0Q5EKSCEfHHU2DMYldPJd13kfzRLacCjErZmLi0JpMAcht3eRJ8EFsIN5UOC2DmVwUSxv
Y0W1ubdycBZ9Gd2SovDqqCGDsvQ6DeKPRADe+66KEVlHvO/zpa4KTwOwoXg4fPPen0MfRQY9qT1s
bw75OV4VYbMYXcS9Y7xWTeYsOpS4rGFco1fNGySwYmGKiYlgF485wElXK5J9YHG1pwRdVE5oIbIe
eY1RkQmtTEbdkSyDmdDc4jAO8q4cefkXDaAsNUKpFSoajDuUK7SjCYmQ+U7N+2SvpWSWONVjKOw9
hcgla3MyyUMXDIg2jiBAItq/TBlX7sBYk9yYD0VW3jgtP7wFKWawxqPaeCiHFG1htNbFLRzCWDyo
Jtg7NM/b2DFgdYubfgZQdNWPTjKXGlENuh8ji+44xEWlbOfKODz7xgj6sGIemXBFZ8T3bmu4K2os
ltpg4+VI0vAE65l+lp4uB/qP0Qx5Gslp/viswMaqW4SefXsbJ9qi6Z1zrOsQO/zRpL+L5tkIlfvB
wflRJ/ZyEnQEQyu2SG9ojmtAJhoLK2emkP3tpcOWoekyLwoS3/AtLXTFfNP76pCoyqFXa87oTNOW
6jA+52N4NRS1Nc/FZD+2MYzgdbNngyRvWC+7G2ALOeozMBWe7nMqNgSfp0UI2DXcgfzvn/QECsZg
TcAsjMIYrpVLiSW3SrklTJGG29y27wpZHiuUtDOwQm8IUE42RmT6x2Km6ARMkpairwQT+kAd5d7T
1DXyJX5trvgONiyY8Yy7qamzJzNN8lWusAf7oYNCv8X5kgz+lYdhmXiu4bkUIfBatkYzpqQyGtJG
A/MALetUTWIgxj3OYgiNmy5KCT8183NZqetImrfFyF6ZazeaDymcekHO1Nx+ZvK2JZN4q/PlFl3I
3Anh951Cr2DuReHEcYVwLi1uavIqn1oxPsm6vEDwAHPOcZWxPgwvNjjG4s1N4eB7l/C0GkPJF45B
YkWHSX5ChL6QysZWgaAmcE9sdGu/ZEynm9Xt4HX3sV4/yNIhxzluHkyXlD1N77QFKlbCU6uoXYQO
jTnqJqRlfjnMErwUsopuMgaIY9HkCy/Wnrq4B2SRRCsLuR7VE6hYoyA5T+r3rbjuqu3oPXbhzgyM
a5AYM0Jw7yMlvQuxAQiNAlBkORLCHMdHolVXaiTeNDb6pda75zbExlOS6MlkdyCZXYzhEnMDmdCm
CbCp21dFcmld/cruE7bfEDrloN2ADdkFOcPt0G8e7Ikfr5b1tqyPrRhwgjXhzLf9szkYIYY0N1zr
KAfnlgwfiCZcJ4mM9pnC9j8q8uAOtrJqERitqKwxCMA2nFUFDFogTMuu8LfWJLuskKUh4c59t0Rg
ZeiEDeVvwJSCQ5cB2JtmGpb9EOVpt5Z1iDmjLrFaaAFsggBzNBUrXCDfIQ4gZAjG/rX16tE9aYYk
jGFUSPaoanPT2sExkYHjPDfmMKzHCVfPUWRC4Ypo5RI/kMK01wsKVhj3AtZ9zEGboQk6KEWaiPlo
QCyHCY4PNeYqgJZvmpV/lQXqmzEQFTL4L7xywCsHPZNQZZFC3Ndjla/OZ6wMLV/EffLah0CXyKVa
62qkz2oPoUvmi8egT1tyV4FGdSXqM63KqZ7Rx7UKKXq22Plc7OKlVrea6V1iUgIUAiGOobRPRtF7
TNxTbR4n6h2Xn7c4KQNFH20JfWMqXvbXsmLY5ExcQsPOVlmvxnNGdcUiTIopkKZ7zMh/QWB8YwG2
Eol1l7rleSCHfSbGeAN1YCXD5NzynEBF71daXdzaufnK5nqu3S6bJwG3QAgaAi/kig0OjqgJbc/V
qmM25S4QWHOViVpHbpeebFcycveCBmB/PCxlj6aRfX9KooSRIkW1TKd8B2A3hCjl+vNYAetIum5t
hxGbM7EQFLmPkpiI3k5spG7KUiNAAtneE6+WFVqLC57LHU/ula1jgiqJnijGisjAMDl0Gq9awilC
r94xO3lAzfHYTekVFjEWFRLifMq16EIXtICC7NIl9ALAXjZHw7QZySU05aH3/VWBdXHRkJMRTIEZ
QhF3TdEexh6IVBa+JMRqlDHGycoY9ihDm6thyt7IenFINQdZb8pGSDwHoAixKAnsiHN93xHg0UxJ
Hv6U6SFG8RB1aUoehToufBw9M6WT+gLi8YgK3CUkzNQJi045HZMwZi6dUV5VU46IVKMXu6OGcfrm
bBeVgTgFcrjvVtU+LYkWKYkkSaIpLIiQkhjK1NpNu4iaE2cmxqXEGc1bUStbAZJ2LYJ841JtoVSA
lANYoeXM/aVp9Z9mkqb/7ji2yYZfoAKnv/n7KGb9JUx81QTuOe9QgVAEwdurOkeu/073+/soZtN9
Iv/WFjYnMhdfxLejmEVELjZlNi6dcQHt239zFCNc510jiTMgmAI+A+kjhsHm8WMjCQFSoTF8ro9p
LIJVnifhos9TLKjXg96O0FlCN8BNsDQZFQQZrHDI5xaKE8LWDR3dw9zknZ/sSicsB84bjoWw3EFk
Kq2Z1ouSOCkrCYy1ZmMK5ZxnJiEhl4oXtfpC8dw8+zBK0Zhnu2lcmS1sQrTMXW9ZiMN4XsuoerZH
4ldGREVktkBt6WWLeoNYM7mOqsIl7lsNNn4vOT10nXlX5szqHJLtyiYnU9CMIxzJZdfuaNsPzPXD
7Gjzqr+QK9q9qBn19KaNAv+lNWW/Sio13YciznHA5t4xUkjEbpUogENHQYwgzxiuNVv3NpCEukOc
2d0RfUa9kLDs8g5KIYwaXT6TcVXNk9rUm3kACGkTcEy41bsS5E2QWa/OmLjrNkg6jMOkkVEorhOQ
5xcQ5QmMcmB/SaP2JigqBHJWXUOQE+pwlKqMVnETVSuz0AoCdatU63Btk008tvVVyR7D1lqAsEV1
r38wxmI8B+MYUeLpjf4CZNraNWXlb4Y4qh4NMmIX+MsAUhX4HUcnbU5NE79ySbNNSW/hRkOWkMwj
VcU4wmZKfZcHx4EI3YU/WOHRCqtq7bqJXEaj6xzHEoNhCowefCC5w4HhD68Ujsne6rzqvknzZlW5
UQa0NNQPCAqAyougileDy2lO60txjY9YWdGKqs5GaBQL4DP5jlEmCp0q3oKBGpcU6c6qtIb+U2cG
yZVTpP62z0OTzxbZyiH0hLpNwyohfnIAhlfXdNTKwcnWhU/7wGQ/RaQnOW2NjCK2iVTEPW7oh1wN
9L2uOMWJj++h80rNQ5XrcLKkVE/DGPQoXLpo44egj3KljnDpFsMlkE5Hnk1XLoew6Zd+O3qrqqwq
/z+Nri8Almmr+edG181z9n+2OdK0MPu51zX96dcNloYWvXY68kJ3/htR8bVTr2sQVwUHD6Cr9MIm
g+m3XhfYCqTNBsMoApenDtS3XpdJ6vyX/xjRH/8yQoRW2w+NesLKgcoL/G5T5hkd8h/3V2QZBAiZ
gzwN6E+pRvRGg7KYZU5EOFSQnUJTHMKAwlZYcs1Ga12XA76g0VcvhmdeYtm85Sp91r4PNigXd4Gt
rVqMQhxi50o7bpNMA8StLZDiknZtgpYujL2acFYwmvSomzRMfHtfBcoqH5RrEQV39pA9WD1YOq98
c4iwkJrDQS/bxJxmAugvPJjAlZzgXg4EIpnqNVmMxwZKVOuqR0qrmvjxfi+QaltSo87y7yxQC9Cm
o2Uiuxf43gePxIRaGh+Aca3but5mnoA6R/fbLI9eEBxdKlCX87ePub1BvGjk5UH2+oNtAq3XtKM7
DDMlpn+lRUdUb0uKpUVZ4TJX2yc3rM5B0Bz8bpgD1ua5bpZGIo5SB/zvfqqkq0/nQvbeptmyNT17
jCRCYT7AGtsolbtoreoS+CNM/IjUavahQt4M1VAxHQlPvgVmEbiFFok7C373OFSX1KlfMr0/Ql0+
Bl75X+ydx3bkxtalX6VXz6EFbwY9SQDpM+lNcYJFloH3Hk/fX1C/6rKoumRr9VSaSSVWJjMRESfO
2fvbx8EU/Zl+nzfzlh2VpIHqBwyws6Go/hI4Oy3Ur62IzgSBKtvOIstLzzgueovO21wf6iB91kqd
ngiG15jc6qy3iJPsjqGae0s47Bo0fK0lXSfOtFPk4F7P5ztmHb5ZxMoKeCnWE+w2USDXrpXXp9jO
BDeNO0I294EHoeTZGpxmU9XTxq6MnpCn6kFVCdGAMvvC1dAJV00TyrXfYi3HyNLaTbJNnCLada95
SfprdlKim4W2QQQTrx2amN4wtTtAmvKmrPuMzlJ1nRKUugevNrhtjRtL4W58mowFWCX0t1U2xSVK
8FD10CAm16qiblIVnbTRhdukUFrONwdtaawsLjDFxSXimp5cZdV+Z8sJmJJR3wIfM7zWnG9ifa69
zommVaCZKZQCdHBlBZGAFIo7m1GXn5q9yMJUr+jAVN6S/BgJB18Rl8vcIvhacsMHFHGxqMZab9Jz
3aajl47AMbLge7zoJ3IVHqSRnzs1fYfyf4abUlc0JzWT+NK8vFLL/B6TAay0AVJXYJjwVyKhQKz0
lzBEty835ExWLY1fWrhc62gaWVPyzZEY4A86bp1hQC2aqvb3sHKeilm9YwL8nfdPQkoptxBiNDLw
KnT+xDtUnlEAJaxSpOcDdssqazzIgRdDlO/tfLzXp/lHb8n7xLH3ehnFEDS5i4XRPT0wH+Rifaa5
Ua+BxxLZ0kvmqcyCG+jOCCKctPVVwY/vdZpfTJofxwTZfFtDTiyFPVBw5y1BoE9A0QdStkkEm95Z
BuKFGGNlYOuZKb4QLvEyCZ59I8j2i2WCf0MYbHEyh4J+r9bq2q4Ir6g1dRMAyO8EKZ9tiqYX+aMg
SJDCxo9zqPGXS/rXWHD2TdQnTt+9SKBSWhUS/xTIHmllD5RFgztT+S1qL7u6wPcLjr/ecUddmuo2
GvEnygnitklw/6cgeNREEkBQBRbPl7aGHYlVjLkBTB6SA8qSZYm1pOXtgcKVVQIKRdJAb8DUTWPY
LCKEIF5M3tuwr4gnmHJSS2ZkrzbBBWMkn6NuuC9ked+JZINMcnAMYHVcUbsd00i+GYlBMIrolh4l
vhICEgp08ytbB29rEp4Axpfwtjm9ayIdd2IOjjazYOvcRFFarJuRgFxXKkUXsyYvT0LctNM7Rq3Z
oK8K2ZY28oJ7C+9JDM4vL9dTr+4JAriqBGPLIlDxKi6H2P136PY6dFMRYfz3WuT8XD3/vQgRP/Oz
CCHe3VR0A30LIy1kb28Gbkz+mcPZ4BpkoYj8pQgBOMfVi/KEkbdp8VN/FSE2ofC6w58w4Jdf7fD/
YOBGofG+CkFBriExZXjn0DB5lRO8kQs0dZvrxqAuF1XFJFtRO8LCHWb7lTHfKUm9CSL7q44x1mM0
8ELn/ik2J+JkJv3QGkEmwKt3zlAzK5pPxkI3z8CvoQbYkeQQYGmcrefAvsRKqLix0qvEJcibdHJO
o2Ycy7zc2KGzhcN9kci0+G0aUm4Tinwic7wxDa4GnaZ8l8ziwJHA9W3Qw5NlAkKX2P9Wdm34s0of
vpYwGGjxTjZGy61U+96qtMtWzS4MkN2rvikGVOxDdp+a8yaYUo3WuXOVJeFNOKbQJkV32sBWFWbE
rs+dTmJmmJyWpa+ei47XgRC9oeEpNpbQlUxlm0t0/sJJaYi5GCO/c2K5w8JR7XuZIC21Qk/RQxLw
UgJe48yg/5i9hH3sdag6V5wSm75ukGmXerKZFksERXC/HtNtUxQ+GSkO+2DkNXqm7NS5PGgybG8F
sG9QzEzghQM0SK3jmJal64zmTa3E5Jdy1LkSwxi28Ua/sDNzV4y9zBzPoQHXGtnOtpyzmRLyXRSE
bHfBUxvat4mEpSCWtK0+B98ZzeI3RWmPTAVDKJ5o9H5grWGykrAatEzhcvl2ttlrrcnYEUU6eXpY
XStKtsXoZbkRJHKgw23tElEXIIAayH2RU0agibOOi7b3l4g+dB2QMWSE6VfmOngSamXAtLWo105N
vbkYqR8ZoHAlWYk8qVNkmn5YwylE1RxHWFBQHUsGJ4lMJx8C2q4CWDQJI//ARJmJmpWQNs+gctu0
YQmCYbSlPYqOb3CPK98OUme/VFHsKlmza+rwtpUZBssdjWmp6ty8M/026g1/gM1FpHYJ5LgR6IEf
JQZb6ErjQZ6Gx6qdLdqnZAqoNUNBzYHmG1SklNgycpfl2BfTMYeo7DZ2crV09sCxEm660TgVi82S
kO4BhnFajQJFgEmQiJgLEsg3bP1rI+ZmjuWOGiltN4mlHjMTC6TsdHBFg4tBTu+cieM2Z8wYqrWx
IQYzdxOF6NgmKdt1HBWMsdMTCcV0fcPIp89zKjJn2xkDeltL+kZm110pzbUbSiHhT6r8TYur+yG1
PSkk4K7BlPo8NIYvKdIXsBe4qjr7pE2cs8psplfAsZ5Qhh5axfpmLe1hNqrzoui0sRfcxKVxMUHl
PRVNvslkUgUqOtwaHWgCN0kIVqPrIeT4TeP5SbVuU8nXZ/tQxdSSxJ+TIx83blFJt/HAgLJLsys8
oZKrlg3mcNzYZh+4TCAuIwPPoUnynzYGXh4nviSZWxDMJV33BKdYg7mhSamgI+cEbACnWHrB0MHt
QRI3KtaPwZrCTZovT44JE62jM2GCviMBjgM7CUE21Md+XHZOFb/gCpRXgUKCQz46qypObrrMeHEa
irZ+okgrauueSDHayHnAIi6pRbWo8/OavXDlLNm0aQt1zv+U0//bVxVW4v9+4h6+N7+59ouf+evE
VZCk4NNAxG4xxJaFAO7ntV9G/aJzGpOlgshEHKt/Xftpnr6SJBXZBgeFfvM/J65OX5XkFhmcq4kE
G9DrPzhxrb9d+x2gVvhhUJ8hE6UF8e7ar1QhO9vSna3WanHZxk2IXVLNPIzJzsYa7GfyJcd1LXLn
GLolurTPW7sXaZ+xmnyJVaIBLqKg7OsdloCKld8no+xXktFblxV8vvGyGKtzpaXxLSxv7KqRhn8y
aRdCSbMoedIygxZuMeO+kAO6tSEQL+6aeMRicCBLtO5ee1W1QcDdTg+kPNF8pbOy9ksemQkctylb
VLDgWm8SmLdWiylW9nk+LuVNuKA0Ay0ZJDD2ypBIRy2UvdiCPz4Nnek15ZjAVyGLcxR5dENqKv44
1cuGkX1zvwxRr2xTZzYXX2v7GbWA6pCZmPWAyZEwCphtoVcSOQoVFJt+bqPSq9QSRIUpXK6Q/AGV
F3O7Uaoo7W5SLYMYYiIVuphUM1I3tcW/z2FbPi6jyEqt6jBF6jBFpbUjNEWT/X+L4teiWGFNfbBE
MfC0f6+KxQ/9XKPOH0BgDdYi/bS/rVFNMdCAMRthhoHU7K8lasKB4h+LKQe9O7EOfxbFYvTBqrUQ
tRkW8rZ/NPqwftW/A3ty0OoS4QRZwTQJcRJL+E1NrASaqNQs4xwtktbcERaU5WDJ51zxokiiGWEn
uApOrZ1qpK6ZU72Rx+xKljTXIYkEuUEMlsDtLDkAjm6bLSHbZbN4szVoQjTSsqBauMrEPILhL7Ny
Sa/KPH3AVE5mLsSfUe2AVmrn2SxqTy8wLFIlMpmvoxeSVgl5FUlLVMQQBmTOeEKYwLSmbq6mszcS
0BQpwSPdeiKbSjkhjSJ7jXJKycN2c9IFsIQ2QKEJFbcm0y37uStOujSb2xkQUKzHgSjgR3I+C1J5
i6F6UckdD7moup2ZB65SFet2gj5a5sm2TqQtgphuNTXFi6w1CRMLTLCLjoghlL6qp6qYTyXdkElD
MEXOLdioLLhVavsqL2XfmYdNslwpnXk34pwx7dDXyQ1xTv8uxD8X4oe30+Nz237/3Wn55n6qCMA5
niwC3jF4QyJ6c1oqf2jiP3MzQEn+9rR8xZgDZOP+iU9E/qVJ7vxBV93kb4TbyHpV7X9yWjK1fH8/
NUjDhPum4H2QdS6+v65F+ruTxBobL2aebFRYQ4BOoLfIKMAZHBGeEBy6JQ01f6YHnt4rvSLJHod8
3O2qJRax8Fwqj3/2M5NJ7eChj1VRoqMo4Kd8FWG5qMqrJlj8LmwgYTAx3E6vTHTnlY8+ty1sY6Qp
cNODeVkctBqvQHVmlRxItQnRo4LyIdDrSwkecWX13A194CjN4pNvnivk/77OrVJl08upTerFEOrG
XaZI6DMtcCMc6hVxGabebStpwPuuzT19SpFKHGJBl/0wTIAtao4D30okGKMTJMs4INXYCUdFwio+
D76UMescRP6xg1tsJefI3Vjqxgt97QhSG4nJ3Wt4slGTSGkQqGyOkk6Atf0jKbiSdXmY+1bFn1US
Yk1p6Mk7EOnMUVi13MBx0YUxXBSU+yGCQPKcZYtkZ1URIc+5yHtuZElmg8MQoMykQduNHhEQTJCB
IrKiTZEaXYn8aF0kSWPed2hDF99TazE2UDNCnO6DvmnLDof2axp1aJGzZvTZZSrDJYZBhYWD9Oq8
rkcQLAiDQ1v7HrVkXLOj8ViI6N481ImLK0NrBSnthT5BuDWXrHcVkZgdNc0PawyCTSXStK08GVpv
FBnbWadaG2ST7R4jc4J6L0pOvGdocSKfW/SDY5HYjXuSq6tI8XZEnvcokr1bARErx5yIHpH7PfbE
jxdLw9u0tcdMpIOHIie8aXRuESP4uFKkiHOBwgFbkiwON62+AoWMTl/kjls0iFdItWrayCKXnIFj
tgbdT1Y5wBAuhlPlT4rVw21qaz8Q6eZcZZGCBUm+/XfbfN02RSzjf69fbsqizH/T1hM/9VcBo6p/
UKDoBmWC8T+9u5+XDI0kX9Typkrp8Dom/FnB2H/AtNVB21qKrhn0BP9Twdh/MItU+btERxCV+T+q
YBhL/rJtvurooTLpSDcsmzai+q6ESQtQsykhRheqRn7K2kBA5Gqa2X9tkt4f9HRie+CyKgVcWxPF
uQ86VncgrrQUWC9dnt1Y4rLLPcqDn8SDyz24l+Rdy704FRfkRlyVQSDDE+P+DCjhaRQ36lbcrVmf
O2K5XG2JLzRUCjmXcDrQqMu5lffifj7M5MZarb0tuLovo+RZXOW70WRAz+WeiQ2i53i8VrWOqR73
fyMtGDaiSC5pDUiiRxCIbkFN2yAMTARPjxn9hFE0FhIjuW5Fq4HWJjdy4wDaIEOKUGxm0ZaQK/0i
Eo0KmY7FQudiKPqD3QbfKmc8xKr5RBhmegWoHdx6EZxG0f4IVenLSD+kFY2RBrnIaqRXsrTNfUzv
hE2KDkml1WRbZncT/RV0wfwidFzS1D7NogWj8DsE9GTipXpuRZNmCNDIj6JxE4kWTkEvJxBNncbO
72a6PG0/PkHALVcp/Z/Jrjfda0Moz4sVSr21Ta+oDoyLVDSPDLpIvWgnzYtzn5ho7ukzjQMKNNF4
aulAFaIVNdCTsulNjaJJhVT+MY6A1gyigVWDXqxFSytNu0eDHtdo1uipRdeL7heIshBOXXh2CDz0
CjpkY9t3LlKfbRvA8Wnpoql002TRViNJztmPZl/5XLm+FaF1Ewbzpk/Hyc/LfD+XqrJCivt90qvD
YhZrk/Ea/21blMxX9MG2/VKN21WUdLjEk+zoTPmteSQnFJuFxRiINrkXaUHkWX37AyLlliTdjTnU
EUGFTbjmfzwpfe1XJW4nOQXiN0jtjTKgCTLSL/qsbJywB/pvG4fXaMCuLHWvKPKrPonmNcO/td4t
mUu4kT+LQS3OZdtNl+YEDb4lJz3ofHigGzUsDykaoMwRSYlOc6Wn4z6JusSNGgQ5Dp+9LgoT4irB
0gM166GMPhD9p3nRK/TMFPwztQIVxu1fcNHkyqmvCYYHlqZM5O+BT0spD2gkBz/ScPoeGLjKozJz
C0HqsIrpvjWbly7t61VVYgALnQ10jStE/zvbzgkhNR2vmiw30SykyplM3IvRnRUt0/nlKr+2mDlr
U7ItuwlmTqCPyJStBQQSgZ4VPMCOQbxmzs+TqWKVm55gCNJInO/4oiPuP2RVxNKxqKNNlGK8cfAR
iN5vknl4GLZJPq9TG8zDBNcT7wp82u5BqRtiN7nVq+RYDDk0JS1OjlZcpwRKoh6dLM5Tc5VXOV/I
fcdVYp56vAbQXvKeJnUAWa6wvDlvYco7jzmxHKu2iY6DUDahMiIsMDeZ+aXF1qnls9Y5X9sRe1xH
kuNEtluqk3BWzScdWu3YoHnMVbk5qOPIdysCI/tt3zZf+2a4SCaoZYl+K8chDby5OWKlM1e6AQ4x
pS0r21gfKV6Et/LG6IPvNQ4TLCz5rnNCmwH9sFVCayIN2tjqeITQX6HOYByXxAauxHhwI70/jVZx
mCRmjXmauXpof8m0nrmHve2ZhDSzvHGs/jI2hwdZrXYC7gPOyvLTJGP/mwoJCW15rfVO58ZLc6HL
5IWEyVYMNqt4OAfmAgSc9HS1E2muezSzxOsQCDZROC8Lwn+z8TVJ2ZVlO3htWSzswtraMbqDXCxr
u9DJQ5ilVV3JwnOEllntnzT0BO6IZmanoBFXxFA7DK+UxT46NhjaZZHitbmMe9lMXcpGUruqMPFJ
wxPCB4NLajRdapm0ToEMQT75oaGBLvKKMX7nt42NxiuuC3r6QNq66rKz7Lsp7iM3N1AqTLnh+CTZ
Zo8pHCYvrIYfSdsfokm+z/piB7ruGDktNOAmJrVU9dS4+WGEs9/3SnWOpolUkeUuVYDvGdwS2IH9
tjCuGomE+VB2vkhm8zDV02HMI/RzfW6RAW+7nRIdVAbK0WRcgPg56Eju3ECfd8AK6NErQT3rWxMV
2v2QSWPqKVKhrKUFrpE92X4m44k0xPRjzMkKL6NvOvIcD/cWNiaMUM6yXChNrvmUC0jnVGU9NQj1
Ag2Gbwdk2unSE9cOtst5AgJdxg9lol6WIHEJYRpXQwlwNmq/4vLzOtnZW9J80ZrTblHZvxpLERSm
4m6apXuSAm8JGE/FlccjAYaEvnm8oPm2uPpi3yxQCr2sT/qrpiNx2MisZKsXMomSwE0Jk1O0ITq8
qacu//Tz/a+izy9LXKrt//nfYiD6q/aJJg2tT7DXxGEJ5sivt7q2hgIwOxo6/pt89Wish8vaBZ/o
Os+31xiJ97Ffut02PlJie9G2XEd7A23IKdr8W+D+WeDSVf6gwGVu+fy/Vs/Ny3PzuzqXH/6rzqU9
wNejC5+7w73+vV/UUmWHHh18UkWnBP2rU2f8oWBMd2jUiUE1bIf/1LkY4U063zYdNuDswj7/D5rp
dPx+fYwc0clHkEeBy1BSe1flapEijR1Ex3MEpLA9T9OXNx/Lb55TXYRfvXsF3LDU5RoIJofSV9TZ
b1qBfdDqXWBM/blfDB+p1I+50s9ZkFwjF/3RQctryDXzcl2rxerfMfXdNnXi9xY6XIwDEB1JNSws
0LytfJv00RqF6DcpUwRO5YikZGIUm8ImjrILZVCMlDl1VxOGAw5zxLQzsDupmmtENSeqhm+nXY2y
sWPdB8iYZPSy9OSZWceWp+tx9q1WhSeM8FlfB5nKfTyUHpOM7CUn1b/20ZSvO/ZuVDJRfVBEeEeo
2BdWZUl+ZjePTkMfRVEBw1e6Pl4m06isNLXs1gohWPjTisPQxE/oC48ACBAT5/NxDEkkz4pyy1R5
Qe5c3wZGtqHwP9lRqNF0KJ4keUTxrU8/8lQCn0+p0ObQoXvMZmHV3VgJ0YtytdNq5ymVpW1R9fuO
cCnX6OerKbX3yTJh11oajz7DnrrlOVAGsM7sUqEjAcCOn7sWWCw2CY5oe4tJ/kICzGYUbB2B+gXw
5t7pLSTIxlEvagOW/HDKNBjvbL1NVW9NKHk46Smd46XbLml22QQlpcUSHbqYAFzOUACcyV6X9Nsu
U2h4LJBUtUW/iTUARlE7RX5vx7uZKB/0xtAvg8TcEM0E+ZB89153/FFm/Ckza2W7HNYoqPbQDV2w
sQ86yNUxMs5mS/JOt1yksX4d5fjT+iDfWPpwisZmV84jQvaEeFI0YLkzbrNhPDIyujGVMl91SfZA
Yum9ElgPZtCvy8bc2xjrpKl5oqNEb6qjNtTaLyW/PHPIaSPNy7cUSyMcQrcJDE9Lp2M1Jvaqr0NK
3rngL7U59HXYnaFpPbEK1kmcfAkDAm+ntkvWUt/z2NQ/5jLZ2viadK166hv5iyTJN60l0keDBF2g
48pG9rKkwRWY8mUVzeGRgQvsPRiKK12ybqMFsQOpyW4Yh1jR8vzFUXJaTzSC8LxYxskW6WFxbGLT
qoj/NMybxNEf+6oN15KKT5lbLqsnGW9kJTlIPfm0aj1yia0n+KKKcT3ZuEP7mSAeps4pabBa6ztZ
hSmSPjf3GPMcdqrpxxjvZLrPnlMHgOQchH4E1lolEjsT4UbeDAG981liTpbEQ3yemhgFeWXKlLvY
lzUqHbeRUkR/WRl5ekSYQ8Z12e8WfE5FF6TXJf0Ccjx7+VCZgo86U1PVzaFDM1fpVbvDyUtmmIb2
RVHrdktGSeKHcX+kE0mMa1oVG4UuWTAtjr9M4g6lZ5VfdnVJnynOLqxMJpEhk9orYK3weYPqq7HM
902gPVtpvWV/OyWRwgGrYA2fM+kYILkUwkxAv6YxuV1W5jelgbJipVhB9tBDPR0HzJKqal7o0CHZ
WVzylD38Kr1XVsXBqi02RIU3bY1XRU+IWsV9iT1qHxKolWm1j03TrZbumCXSJjKik5zJDymaUK2X
96MTZJtiSp/0JDBWbdy5o81FXgF3uwr02HqpRkR8pEtAQtbrMb9NlXxcE4i00SwMx9pCgnxkLyma
vbg5LXZ61tSK2WF7pVCNE0YJdhfjMrBIw2PL26lK0PuhZja7bB7uTKm6hVHickfsM4qxPvLnkbhx
9px+P8pm+VToxKZNsfQDKQ6ioL4h8wrrlNfgXLsA8YvTak4p9LGIDBswmvOGrT96CGpeARrGbYEe
CRcFdVk/N8kesdG5YGLtZpZm78BPRyu9tG6NuqR3oCe4vnKyG7xZDwI4S/WtGcy3dmEsj0tQEK3Z
0zEw+lBZWeO07nA7MLolfZe8g9LN+MFVMxj9IzY+DNP2HJNeHo8Rp1LUEcxb8BWP1Vqz84bLU/nF
HCq0QQhDLcrjFhflbO3Ter6To8QfYnDIYJ7v+ky9tfvaOUzzNOxKKWm8MshwozFsXlWy/IX7peZp
k14/9maleFVJKE8a8aBjQUWfFWiP6uR0N4FqTGu7lxzG1PL853z1/5UwCTCHCoPQbzT8jOyQsP16
OMNnZm4RJsW5I1zcmJadYY5XY9OuP64CxMzxTRFg/8/r0OwzmLqx7N8XAZ214G6JinOeZafWVO/Y
lS5twMhslw1ZfVhbmznbDiDHMzvdtmp0jGhTk0NwYKc6GkinEie9iqDpmrXsa1HvcnHDGhp8L3sT
rSZLgEr8bMoh5drPuu43Bcxv3zmjUvqNusG8BsHD2/LFyPsy7py0OI+koIQz6GcaTuXx4xd5F47D
5yNajSD9RLOTmMzXeeqbIqntUxIh0344VyGQDMnUd5i66bAFZKwxlSFzRBoepSorryDlebMj70ab
4IFyRskWaEBxkhwW7tJf9ZHm3BScSn1JeLOMx1Iv8cIbDCBXRhmeYyneTwGNolFl3Zg5ROuZ8I1r
Q8me0y5D0xXGm2UE3tEqph8ReeinnfZVatS1UDO47EpMZHUH4EOtbZKIQGiOIuHqNXf1on6Pdet5
wqbWgyhfYUA9zYs1rCxrlrayMiYnOapyqAlkzYQKgu/IIVpFicP7oFfy23o0OD+UEGR2BbrVrLqt
qYz+UHLEKbTp5sRK/UpWLxB1Ft60IKOkHXMMZDzL694A9tHLX2wJP7k1Kts50ekINJFfVMXCZb9Z
aQy2Fp3SY2KZEQmBKWOS8m3TgSLPlWnfy8NzGqvR1zkzNrKJZtrKopNaLhg+2noda0SYENh7nZtm
dnZ6ZaWYy3SorfbPYet/XZWI8d+vF54HFiSj+lePCyPAX546eHFlwZ8hcVHUZ81pEYFXQ3Y2JSwR
7KdPYWukaJMjVzEnD0ueyAXKTnwqxKhEqbVVw/aEInA1LurJKO1HskaidZsb9brvZWZAhtoziYIG
RTQ7XalSz7cqh7o3AizyUJhTj7ARyXlZkKVS34Q5DmIlwnW9jGjLOzwzRVWvzXz52pTmswNwzR2U
0nKbXL0z1ZnamS6VRtCqWaJlbECDIwg3HxPbhPKkfoObKrIp2QacbGsW023g0McaGrcuNVSrM09I
xaVdvTGG4ZQm0Q0OuOvccjbm3D3aZLWvqBtlHwsktWA9MEBivGSLGZ2WQK8IVE4OU3qWeCbcytG+
KJr0qESIbOtu0fwIePawADCRphL8fbOR5WTnYEBTS1wS0eDpKbJw2x4PFqE/gGfwRBI712fdrYYu
yLEnRkrzszbKX2uteS4s0ydECBNK4WHhvEC9drQKcz3SF40wZbtxYUF9jq/SSkp3s734ZQshPkN1
V1HQlGbIvYTFOEjO1Vh3P+jWB5j20Tb2ZJ90hEZC9/LUkH6xYh5NDMugX/mWwD/5JAdidKZCTfvo
CIjGh4nzUJYA1KX40oj0VRiVazWVDjmneDSGW1shJKFq18wfC2cH50BRODWzYFx3HO8oDiuCEusE
ZIO0wXF6WGgRWg6AjVEJAU0jocQloKwTdKY4yi8DW9mCyj6EY32ErU3V22XSRVaN1XbOrL0ejodK
ZVoBcoHvpiLjYpTJWa3Gk9RyS8hMuqu5X/ZW4QbjpWn4Voom1T7T3zTndYlLxRoeKlnCGCCfTIPo
1CnQj0k0Eu0YBMGhVwfLbckdgxceFJtxIJSFumFbzl3rzaa1bQaqEIsWLWRyou+CRvnkaPtkpWrv
xGhq5MyJU6U9yuAQdOkJ/Lw7DTlzyou0OSncWD4+Krj4/3qS/rozaO9OUjWKCm4X7Axl+R316DBB
qDgW4SOOno9fyPhVw/PnmURenK5aJKQzqHvXYRpbFJyJPEwoU2cGy/HUunGgijyqcheVEs/cNByq
CoVASbDcya5tY2UmJUFVCfN27Pd8M4r0Q5ftq6nQ7BWtu3spLi9K2brJKN+49bhdq95MYTsxEwEw
0cVPBemUEr7p67BPB0jgUbfJjf5gMI2isPBnBc0yJd6GOYD14KjOTbUA6NaMfa8Ry6SphyWcd0bl
XIwpaG+ObUtKD6lasJggBES2O1XKQ141fpwFO8LWsDWRvdwZ+fMiz4abjeGXenKaBzUUc4pWCz/5
VH/tt/z9QxVtvTcHfWrqBYl19nS2p6doeZntT5Dhn/397w4OWcqokcN0Psf2DZrxVa3dffJY/Ob5
e/NUmO+ev9zMUzlVw/lsqJexjjCj8+Vodj9+kV+bm399SujRKEmBrJnvHr3JakdgNPwWjuqq3ddu
zKlJ7uLJ+uTbEHmJb1aT0KnhyrdIAKL5RWn6Sg1+83XMSVwAK6rUM2XMVw417zZbBx4hU6vYfVgV
q4ed6Q7Hl2tQKveT/5z58wsrut1qu49/4ddp8htq22sB+PbAf1eIOyAb8YqzjXTrwZNd2Z9u+k1+
Fa0d33GzZq1s+JzXiovQfhX5DKYGXz8XXz9+F4bo9r1/F2++XENsPm8+DuYUma0i+j4/TjvVt1bd
2rm0Vhctjkhv82C4RyI7Ns45Wk/b4sbY3gYestQt+95q2RDl03q0zjzHk479tti0F0QzTKvQuy9X
/ZnZ6sbYOTtIYNvmLl/ffPzWhXTxw7f+7gOU1BZaC3EtZ5QkK7Isvlfr6lbxwC56gRd5sV+s8325
ufx69Pud4XJhT/b44fbJOXQ5fHwzXX0L3PuP35X6a/Pzrwf55x76Soh484GSTzw0lsm7inaoiN1l
m2+C20JeYV1h3rcKVo2LcmZjn+ut+kQjzf/49cU6+fv3+Z919G63YauR5raap7O8lL41joeFSKQB
9/8nh5LYVT56nXe7jk0e3jAs2Xympl4N41d52o7my6z5tcz4tlp//Fv9/qv++Vu9v0xKOZu/USf9
OUI7NQfXVXj1//cC7+582oT5x8y5QKXGQU3oAzqW9/ErfPLFvErc3zwXUl7ZhTWz0EoSyOHBVerj
QjjSxy/y2ef0bhdtlQzIlpV050l8K8y0nCn5ZKP+7Pd494D15dL2WCTn8zhMEI4AnZAykl9+/Ht8
8nRZ73YlMwilmeYcpwFiW90BlJJ1F5rWu9bcErugngfY6h+/5G9/L+OVfcB0jfHhrxshgGoNvU7X
n/X8h0CDaBFNvs3Hr/Hbr+fNa7xbNBnEIamO9OlsJDr9+6s8/6Sr8NkLvNsSlzSftKSsh7PMpk0z
GjX/Jx/TO6r+X/vbz6VoigPlzXMcxQx9goznmLvBCjfUHqriiSuCu4dT4ocXIGo+GXwKiOqHe434
rd+8JFkzGrqZiDPqkcZwwa4KJXiFGvVZOS67YXW5AHzi6Db83GVOeyWtrjtfnOqXX+pLbc+tHcOW
P3erbeFGm8/e3m8PchDUP0uX909O3IyyErDolAtxkEurdpPpu0JxV+lG9x6K1R4m5uGH/MLlrLmb
D7ihP9m9hCH2w0/o3feOXAdMuzNTS3iDh2ieHDaAeYfMu8a/eNQ2vfdFXQergo7tGpTB5vPkg8/e
wnuLjjT1ko6HpjtLh3I1gSJdJd+MteJZh/77tK38/GhtpI30I/yiudMmvQi95PvHq+v14vXBmWS9
e07SQcv1tuDRbNZoF1agOEVVt0vd22E37XZ4/1fLGXvZg7wuvXxdbaxLop693o924yp6yj7ZKV8v
Zn97P/9Z7sa7i6ItOcyGCraU2tc35oY4qGm9rJfj/2XvPJrrtrY0+le63hwu5AMMetAXuPle5iBy
gqJICjln/Ppeh3qSLTmV557YrqIpUiRwwt7fXis+aqtXPGab1HP21Y6i3mnyxP0ajCm/om6bbm5j
Xx4S/ns4+Hf8TeOd+17i9V9o1H/lOV+85O//+59T2f7P/xXhe/be/sGEDZ/6vXHPFBwVa0Zeqf5+
bcF/C6hCFwOujFkI4wHpfskk+9a4NxGOIlFySKDCHkOZ8WvjXv8YkCPyb+k09i1c6/+gcf/jDkWB
k3E6lQAI1xeX+QJVfvw3y2DikP0cCze56PP1YgnKfluzfvzND+bq68P5Q8jE+XEp+fpVmJKnucUZ
1jF+vhDUQZwx62YlF10JHtAvHbUA/NHMjhcYerpOIOF65axrJxHC7eurKPGyJTgOmZ7cEGa8zmJn
q1tRDL1P7X1VUyxPc0Cc0L7nkhPyqun5vh+iczy4O/zeJ3UZr9tZP9dLeZwwPDLbd1ATkq/5EIZg
hWt3I2T0PeipEsa6+6ZN0UhyjuJ80pHJzbL+S0ylekX6nSN9E/Suuwr4fFKl7mpG82wfRmXhGD5O
qCGVlnakSzFi6hcmGtKuAO6vmw8BDZOtyCzjWc8VCvKGStVNTSNK4n1dZQjoavz1kFv92UnVmT56
FSR7mo8diH6DPgTQm2krerJLE/hOMCRGZTgPi17bfkYjcNso4Ii2WjlOS+1VGsGRGoh03s0BZABL
uXRqXTnz55PtAvWSsqAeS6XYOiVAV7K9DQMKDDw2womBPpvpoQfz5Vzx9VrjmYSgaI8MvkO5DsEv
l6KxpqtIQ3RRh7N7dBtbHAZCnE+Su/AI+ZMEZTbDku+K3tw7wN0aupYyFOswLWJ76ti69yWcl5XN
9OBaoYTs69WEPZBUqleHlFwG3Rooifdi3fEzPxXB0r60UUjzC1bLPGFKdet4r+i4tpk4ZRKLBvzN
MvSHRJ2ztVtq7g3oM+aVkyiGJuMyzl/lIOlS0x9K9o06fiSTOZz41Q2+XcfLuukY4YJjwoAKOJyD
vdCCFB2MVUqQmle4gdRQDzq9obrd2sawG02yj9Gkt9c0LDSmH/JzXGTnoWm5GjbxtVlaeyfquS/a
2Y5YVuqHhnrVuuMt7c/hPhwm50tJc7VNUt8eJ/tLCU/aIkuZBrV2pyr9JrQ7euplunaVnPQmPauJ
jCZ9jLe27d65jb3PyfzAwJffGMOBXO6GBWQlzGVrTup5dgbfcLsdA7SnpYn8sBk+q1Z/rnNlk40a
sxE0yfr5tSAwG5avAdx2f7QzgwmTkG/CGp4sG7bmYptru01bQM4jYtZxOem5TnxQP9tVDwA5far4
9bUdRBxaDOtgsBGCkplUl6cpaNdhHuirWq1XRkCSQWsLdZ9YWuJrc+RbQlzxd7yhx0v7JV5Cn1pW
65mDGp8jk8wiaZHrLivaM3XsY6hPPMwwmLMahC9QVp6yfD66vEQwiknvNP7kOCcHphZE20dSf15q
idteD6+LujrBJiRa7Z7yfriO3PiQwaDSoRczyTOt9DmldBchD+sbIA5ho16kSvqM9fS5SvND3KbH
MiP40mvXC8jhTC/8ks6jZSawvOv5uAjBnBADLMQIXmsaJr2Ld74hYUrSERLNeHBK/KH1UhSHzinf
8jkQlA8LHI4hGGlrMtJt7VZbumTKzTIr9d9ccalQ/nCI+1h5CWZZDuwM+CX8+8f1PZq1vJ3tLL4o
61RfD5k7r8Uwp34Od+jU5aiPxRBswjLKmehZ3rWqbq/rOlXvHHjfq3KabnpQwxDf/dQVj+rUbevI
/lKkCRLdijp6mATqyp45/Cw80xk83zKwWo8My0JcAIKkcLrdUJafG7H0Xpy0DzpilPWgdYYHkaJc
ZQRNa68Fo1XB4u+ovmtJs9XN4SrTy22bi7c5y297kRz6IIX3nB3qXj+JqiRCr7uQHObSb+d4p09A
oFtwOnagEFOE6BHy0/Fbtb0x517zqsg+qJHLe80k9CnotG6VNNM9IRITWBrhbX3WL80YrldtS6hR
nJ6HarmI2mSfjtbWQmtJerveBwXot95p0PM5RF+I3Fhhdcowza5EoV/GGdTXPkfVpDcrvsuFfa3d
lElzSWD4xhSAvYZiyHy7ADlsSJxB01zRERw43Lrgjprk3pxNTCRTDDsCJfDAwzTxgDrNsknT+i2t
1a1W0Wk0tSfS3X5u2J6NSmFkHTLa8q10xUmtVfJqrvIW0FlcVXq9sntAlWmWa3ulkmtZd4qF/UlX
s42qwihylPRpznXNS9o5hSMaXhqLpfkfVGGzSpydjlL3oTRA2hINbs4ZU1b7vz4k/HjL/HhQgbDS
qWToxuBG+NOFJ1maEW5oHl8ExHyM5NDQWvzrryDvKz+cnA0qtIwDUbnmYuVIUsFvjzqGjXPHccPw
IrPRIduXcR/v4uqmGZENwB8HrLxxk/Vff02CJH/zVX+6P/RV2lUmGoizOlPr1HXaz/wHu+InJg9x
JTMw7HWORWDM2A99kXrD1IG+KOi2q3pcekWzfCoVcYo7U/XaPGLSYdQ+O5EpfGxt9zYoDJ9C/VFk
5pMNde6gZUwX8TQV5bpfRLF2KoVIZDU4nijmed9PwvhcFkm3MZlDBOYdv2Y8q5TY7MhnBZ79Dk6S
x7jnLcmmZct6eN+Hg77PQ+Mqmru3hGQlm9Jd2zQbu6WDplvJzlAjZZ2onFCysWDAZ4EAVuc2MZ0R
F7SIpxs9KpD4ELlH/g0Ix0Vk0Q6Eekb07lW8b0xlN4/m3bQkj6aaHqyuBFuWcliLAwPGaRcXPMTW
Pl0SJgVqv5gD3QcfRj8nSFll1ccBx/cqTnLyjtO2aOj3BwtPMNi5LiRrwdxnmSC5r5bE8ZssOFcE
l0JQglpJ/NoJp9sI8uJqYqyp76ADGQbN20V0W4UhjJXWly92CAFRza9rUA8gSrtVqx1w+mIatIyd
KMisVZp2X8zRDj/G5A9Nf0EuzQQ/Z+2ZOXx3arS9gUxwWeY2rMyTGP/udijhGH/5jMuD+G+O86PJ
EUNfeNrAw1+FF8oGluHDuCWQs7NPDluP96qPK+ugnYvn8W9KKh9pgt+/YDKZY+Mcgqzx4xeH9eAU
0NyVM2i8VXHSvWoDWE87Ko9io67V+0vFOz0Oa8bFhhf+kV3MJ3V1iDfBhZwB+Zvv5seNjwWEt90g
koyL1uYa9fM9eVbH3NS0JLqI1KuKilWsPjbD7q/f7h/XrN9/jZ+aWEuT90oUZRGb63vY7Nz5b0ow
f/h3wPwIaIEZb8avf/yB5pO9KGqMm7tUrmrmuxqLM+fXFerf67tGxe/Pr+/nl7f3P4rcy8/6fnOX
kXvGMlFJEqGHgfGbiXz1F5wq3N25sUFgtvnQt5u7+AWQm+vwG5MCQng1v97c7V8EFAvH4ROIsZPL
/yc3d/OjR/rr+0bXEfQrXUfqBGyfqiO/id++7MSy5lbvtPAyQAEk5pzYRIuLLJsbZq6yxyplNmnq
XH+J54MAz7wt8pCtuydCpb2bylB7o4u70BhRyonsOOGVWy1uci7giBOiV67leg350ok5cWcPICbT
VRC77tqMq1cNBQpbBdVBWGyDNjzZGXr3JF1bOvsXnMtn2818hcvDA1u5uis4vYX5GHgisAafb7sk
Q8STHSuMdmv6U5+RxapjpvZbw2QWnPDaZuqCL8PYvgPKAYkPaXrtlAnWuSa+LdPoegoL2u3jAwAt
pr7sELaXxY0uhdBmIX/yezviJ4DRnUh6+dmxklfiwBe5pdqkiPgr9k2brttKu1IyQ3qczmW1HJMy
hoTRWCo3Zv3KSpDJFgb2nziTydhu8jJOF1vbrBhobMfXoE0IuWroOtLIYTycuTo/U5O7YZivIHyQ
VlG7mr9SBicud2/bnLhOrl23xdhskszMfcVdjlHmHqJuOlZlpHqCnjXClGEfagTiwpIsL3noclX2
lrJR4tbxXUQx921aMl5HUHjdk8D3CPAbB0hHODbS6Q10AenfIdI8tVBDv80TZ2uAX1tXoXGya21f
m061AUUbXM9KUa6iunM3c8hu6ma5K1M/tlf0RXRd2sq2bCixxoJDbP08A/zZtqEhSQ0Rl9MQ4TKm
nY2AFQKiCGKCXQSbLqyXtRCFWHEufoUJSwldcG+DoZ6vs4LNccqD50yMeztE3hyTWvT5Q2cf+Dv5
dmh2DOqt40Dr1lJWfdD1Wto4GDXVh8lPJosHsocKo7amsWtI0nthv7wSezegu/YczxUTsXtayBnn
UuA81ylgz85Z5EweOpP93lRDuW5c7aIYGbs2Oh5l7nSTHw5wEquQupSm2LdFZDwPIiV5xR1q1Toi
23XtlHltON4qc9DuA259SNcLSKQAZtKwcHy1H3iMXcGsIcC+2szMnZJbT26if+a2sxUY5tf61J6V
nORLqDg1+iuUalH9eXbNmV8+aW6/aF37GkNRZx60hZoaB3SLG+vUzPnKGN+zOXqcGF4lkeUQOyaK
t5qBF85GZ1yJMX8ai4oWusN4GUqWnuPG/DBx3+ZmNBJ8iklBjW7qE++aPaYoH52yx9eegcKJS/yT
TYz+KQrtI6OK9ap2IlKZVnG3lMFlY1enfnJbvy+LL3FX3+pGtC905zg4ZEe75LgsGFe4OEcKIfOk
wF42A1wwM8pBeWPeqKU9+Bp/7oapzaNjUPXhMrgvRajTOOcbd8Mdk6JH4BVf7E5sGFWXS5O5LqXW
CVDeiy4PebVUPtVTN67iDw0UPihnCqegR53WdY8FHFpgq1FlLl6kNOWtQdjwgavsSGVCZ97BVlGx
7RiitJ7DtLQOHYKe8CoLs9DZd7ViPgehrQfnxIrTbY5tze/d4FGjMrG2Jp1HIwizdcDzsjNLwkWg
eRnG5LlbWxWXfjl80Zs94ysAOigT7vCtyBxere7gcBco6oJrh4HDqWBye2H+xlPC/CojbHPfQ1Bf
51XM8pRm+roPky9hI64bWy13ymht5ritdhmob09U4oYaD/WE4aG2ymXDW7x1AshdLpHYWl2uXDM+
9ilRpKpSX5hjHpDejcgf8hsNb43XdUG7qzMFE1obXM6pqntzl6Y4JpOJOPSopfui5KLYGsWLKIdo
beh94xFBOMVp8ll3RlYD2MKIq4p6rlaLw0SEafIeZgNBPyW9U6cTDEw/T3eORYVo2XLb2iqDcxlq
VoysKPliG9FhyTsu1Ia+Elm81jiwrfC2DOtsqI0V2IPbfDEmZodY/Zo8DzcFs6Bcn+i2JHoM1wz2
2WzmW2NQNS8fmdPS7fomTizIMI04BVV9Vbboi7BOUG12lLs60i9Mhi98K1Q2pABbzxUFMNKSYc76
QgFpiX8OIYwzvCajHW3HKTuODG2uuJMdg2p5tGpCXlV8OVtlTqLIPlQBJOM+qTYxWeqqdZ6p5sdb
Q0WyaSslwyG5hp0wZnCMW3YxkzGjNCVcyKeabr7bMMA348JiazjdMWFAd5WL1OZ/nDYYQA9m5zAz
E0fpCgXR3rUF67Ohgaoj4a/Et1mQv9Q9IxUQS9JuPg2l8pAa/KpVfEtNX3YsN8Mm18L3xHV31lgy
PsBHg8r5gizprWq1Y67/O8n5n/+6EDjI/fl58iYe3ps2fnv/fTNItvC+HylxFnOgBD3yjUjyvRdE
m0hAHKEExOAo3JFfT5QmRBIs40xYUMiBNsy9qi37Lvrf/xgMcXLDgZBGvo0ZTrrc/6AX5P543+AQ
aciRUC5LLqYGICQ/VUgiveA+2xv6uSnruhInJfvQ0bqm2uYMWJlJeun2upHikAoYa47Hftlo86yh
zOtiC9atml32Za2wH07K3rIK49ynCig0vS2OOafU29lgFWLAqjoVcVe+dmE3HvR8TG9NbWyOZgni
3usm8U70GtSt6QQbqoGyglB35XOkqqoLDYnNqxkZj3MzcPUaRPisAK2EuuGLYsTLjd7ace+5Eeea
YmZyQXVwNVR27U86LjCgQrmHzSG9yvM+uNMTN7rpKyWLblXAFCFtdqHVyx4ybUCdnGg9KxBmnFDn
CxLs7/XVwAQudfV5dEhv01obrptGc0byq7R8fPwQg3ph2xAQcyuuk3sFdDuy4iEVwoN+WDMz0Rhs
5NYw189p3xt7cwAptXDN8ClWr5pqPjhE432tsCJfHRrXOg4VAXGK1jYzZhHrLcC8lqJ8PVCpnOPC
MJCaUahkegLYcbmYN4vWDsT3B4p4pUhemUyMDhUlpuVsJXW3J2QbDzdUQrTN3FjFYjDCZYrxnLtY
JpTtx4vw7w1T1vr+fEU4vzQxQsCX3y8I8vO+LwjuL4YqkJyAGf+v/+TbioA1xSBX+hVrxJTGrwuC
+AUgoqYx1GEycy07wN8XBPELF0s4jnRZTYaxuRP+gwUBfzBXyJ+umLDSWXOYKjKh0v2UNkgYpdTF
okeXubqYwTkC8v08aWrk7C0Y2eFVybnksPS1/WxH5kgJRClq8AaTMj41i2gfANWUt64bWwBNjH4s
N0YhusfW6JkCZBJCrO0I3reJ3nOSns9JGj8z6f7UJ/vKwQvErN1lL+Wg2fxCxPZFl9ZQyol26+Rr
bEJbXapF9ZlbkoZtdBoCBg+aA7U8xORSSEr7q/VCdX5JayYe67EZmb0h6dNKlekspaZgYjdZMTDH
UWBrs3rmGcKmIX8Y7KrcvjEHZkZiW/NTg15EQI7daRgvwqNa41Ot8KpGToJgVapWCyldBUO3bB0p
YqVzSj/CtKAli9OAq1Uno5faRXbKsbj2UcrhPNAd32yBS5hN2KzyEdpFhf91qKv72lyqs9GAEl8K
jkaNw42iyWcmz03mrhspk+0M2qdTEWYnSFrAKatPEFpBDWloB3u1eQeNNKNcmbK10/Y7gnxbFXOt
xpm2EiLh2Oh6pslUAyWLDQcGCBvSWAcSFhnu4Fi7uOC/zGGCYeGWDwXGXA4v1w70IbwRr1oa3dlS
rdt1iXkKQCfFlXIdV1zHB4vhsUAqeUMUT6FkTpYZE9W2fWc2KNKpvOJbLo4LjeVKCn5TqfotCiFW
3M0SpHnTEfGI16njwOxZsc2kKlg3+8XrsAf3WIQTYC++LcXCnG/XTHndIk5BhyPlwxEWYrNGR9zL
qzMBP4eF1dx3UlpMA3hCRNozoIvQ2DKii0IqjmHXUwXAetzMyedgQINsR02/sjAji8Z5ZOv+JILQ
0wGGZDlJwUl+G+pwo8zOpg6WywyOFCWDjRtc8bCWFyYu5sxNr5bZBtXPba2QuuZmirnySYWzisu5
s3nsNOzOJUZBxkL5xhXnURHULTqpgtYSrJNKE29SLNFWlV8aWKNN174aWm6O3dDQ5hHmRjHqZ5Nx
4sjS73OpnrZxUFe4qOd4NKAZ9kfFpck31BzI8VY7iUCOPZ0bu3/X8Vq3+K01YZ8SKbxWpfq6y1xc
jVKHDcvuLZOCbH0B5OdMWe9X2LP5y9urbow+1Q1ibU3NL3VM2xS2NxCsPitK4DlSxS2klDuHvNP1
H5ru6CikuDuyKWbiP9LJKxbZUclQv1ofqm8UUghz8hfIgOm6wweutcGnTArCAWQ2dEvMnessp6zo
zr3GmHVvPo12/oKc4LBYfFGc40kVM4jk7iNc5G2mbk3c5IaUlMfYynt6QyvsusVmxqJr6tI/p2lc
cCPQBJ1xjLWmuG6nNGgP06DJFm4xMBEMpMB1a3rqifOI+j2jLJMDZ6jpZ27qTGW4pJ3p2RUlGOTJ
1K+m2TxQudUuIl4sj9+5dVkI0mvWAGOam+30uNRFeNMA7D8mZmJtO34E6zFTsp0GPmZVEeUwViH8
abwkdhftOsWAIUkPhTnLSoVtkwTp1/bYv9u0TBX+xTb93ry+v/3BJs1nfduk2YlV+CaWRQOdSKbg
Q983ae0XDvO2yZil0Dhd0bb8tRBMlVenAuxybnchjf+6S1MINolcsbEavK0Eg//JLk31+Pe7NFcH
k/kqCTM3f+51GIo+al2dppeaim3ngGujUr14yE2F4g6qrHVus294fZ3UyBExqpKWonmxI7+oBsm2
kBVA+nBJ5zxEMyOTgKvuNMNsMCxAUfgUyKKA3RWk5LnaePlHxUAOeic5mFTdondKXaFM58tJwXDs
Cv0lEDrDEU16rKhFFDbCVkF1AsrWtpLlit6ZHqjcvtnUMSoDllqMC3EXTvCHsNfvzNa97qh+DJyo
EYXlLDWyNFKNXXofUC1Bxcg2oM4kPSbt0qGiMuZgoOCHqLtQllumxtkNNiTXPB13ga0/mbI0M5Yz
yEVZrimJM69dWcKpjJzcEAEolruA6ksdferTuvMLq0q3Ycpbtsj3zZBvXv/xEo7yfQT7wqtZf7ym
unxjJ/nuRpEq6Wa8z618s1X5jgv5ttvyvS/lCgCv2bqM5aoQaqwPMwtFLVcMbisltRhWEbum6djI
lSX6WGQGud7oLDyBXIHwJFH0iFj4Z7k+dR9LVSJXrUCuX07VSISBO4Ml5IRTxwdTIErZI7BQ0o2O
inuYRap91mrD9Htm2USdQHMaejAnDvV8RnmjAjMYA6Eb1cqvzcQFPYGdHpNCk77TPHgEzXcqVarK
2NG3GUUjD1z/uXGVc0toCTNW7FsIr6eoOFR686Qr6SkZCZ/Ven5nhNG47qTIhtoM2uSLIp8og0Ud
1zErmWN9bRiDkVCjj5LlrFloUFRkpmkF8towh2CfztG+zyX8JKBWCRLPWedL+LpMI4RslWGYyg3y
TSl3Ugtbmmc21isj5I3cxlOuX4xzGtG07rXOF1LZNnUT0B4MZvEAI2NGzLcKSHx19pj7jmpRd2Nm
mRtkSN2U/zORO7TmrsVcAVVTZbPFcgncLiZa6SgmqT2pF8LCApA2FKnnivyUqnZHO55Qq1gU9eKs
VcCr6M/2BMAmmMvbUUAUd+fR9YKiFahdqFVRmlxxBWAUSoj3PAjfspKDKm+X1yVEzhMluerB6vAM
6GtN7YXXtzPzr5pk75eji9RLl1jN0C/Upgv9wOo4sChhuVAyTUSZHoq2K+/+veZ9RXix3P75/nFb
Zi/FHwiGTT7r+/6h/SKxGOwPgB+sD0j39/1D/8WEZwODC2jW127ht/3DgV7r8oxD1GKv4E736/4B
o9YgzEmii/FXiQT7J/uH5sjG/A+3PDqWEudPLxPQv5C1p982Ek0nTxqz1+dLB/L2lUjm/CbWKvGJ
E7t+mMeUcJBGOd7pBvU8AkVlCmiIKGUOy4Nwx+42UstsuyxafLQpb6+F0jVYAzGsE3m4yKT5ZTC0
4GRZ8DkNmnqrgYYB6w8+HjJ81bRTHPcw6QuNsg5SCoyGFNecWmyTAqkMjRBuO1U7PedRFB7KGo29
SfDK1wtVtmWcCs36/ODqtRdlxssc5OLQ25qz6bidHou0dKFQj4xTd26Ah0e9TI2eUcKYlcu1ua1G
aHENyQQqXaNjMDJZOpAhSfJezdpoXndF7tfLEkp/5FM0hQECSSDUaXVIcDp5U1Kke31xR6/jPn4V
auEnNZ0PcW80G7Mqrq0S0AhaKmXb2eFyWMLeOLBPiHWGkhl9crsn2eP6RGdMLOGFuR50PYBXMTir
GDXToc6rEQPxcL00bHFVBuASNtCyUixrndD/Wemhe5EYcByGmZ+OQiLhJgaCi4tH0y5b4GPoDsZq
X0ftAY/nM3W9aZVn2BDxoSVrqBuHiHZdB8eXX5gy4tLKpFUrQK+VmADNpW9rQryVfxi4Flxcg7Ry
Tei58H+i/lO5YdFUdfyxyDyCgbe2Ia5zERpMdk9bHd2XnoydezKlA6xBBjbU2lWJHEwNWwEJJN5X
aMNYm8mwIhILpFGM0DVIKWkZa1urIrmUH1sEZJYlJcX2eDtERKJbSOeswtzjMTxdAl7dFYjMUDuc
ksk9V6O6jTRMZ4t0ntmBfTUHyWZBhpYvccd5Jt+4JnnvRQrTCEjTLr+nZ5/5C0o18F18BMlarjef
jRHrmsuuBYN9W1rzPXcc6S+sGLKQrjYSxEiF6tRC66BLtDNq7sYjjQnvOSink0tDjrcij9OTRv2P
vXbOygM7leELrZlOoa3H+38X44/FWGZg/mIxfnltmM4ouj9YkOVn/mZBBnnJuAOVNxZZueB9X5C1
XwCAMbDx34/wWb8uyMxpwBmQpXHK7oKoyLc6PAuyJtXGXBCkC/6f1eGBNv5+QZbLMYdkTAsyw/Tj
gmwkQ9Eu5TReTpkjAR4x1KgBKlSVDF4upm7Daa41VpNlDk9jkh9ZHN0trEdB5jaOvQC1jh8UjnYT
hvYas1y+ymfoIbYaK0e1W16sQF+I2Xfv4KXbtUhgTlTYR/F12mfSqehMBqPeVNNQXxBLWidYSztO
bqOKaTbGZ5p3+sFstC/pND+M+E6FmV7W+E/BzOzcmI6xm+Qw9qQkNcmQEFDlYU5JNanEyQaliVU1
Eeb9aCvP6aC8j1K7KhMq3jTO9B/L/A3MIpRhVbnoqLn7nG8l6hud3+AyECylrqQ8NS8TQ7capPK1
n8uHSDpgccHaJTgh8aGH7eHHYT/qw3MY7+3KuKlb+2wglF2g+8zFla1Vo8/JFiaYvVkg++V0HgNs
tFFh3Q1ST6smX+bQrMj+6tdOg/TY6cFSDGGLuI19Ypaa2z6LMsIqGQ1/F/5kgw03Dzt4ZwKcBpDv
xDOyqFmrUp+7lLSlWZsXrw0Sd610duub+HbTCEBdrjBW1yvJDRwlnX5FVq6S2aTAEpOZsUrFODdS
4wvTd/BSR6sOi9LclGQS2BDR/iJB21uqFvuNgYcU7ou16wN3Th+KUBHhWW+X/DFpLSZYspy7i5cN
izcZ9kh/Mx7XpGO/tC7pxWi4jLom9YycytC5C7rWfW6sJX7Ls1IokJUAqsNsAJDW2tqlUIH6tDSe
vVCfi01ljuU5X/T4Ht/fQ9PFE5srQMl4yj2LMPPlaCY6DMG+2eizc+cW497IrS3ej36bwcvcURS5
V/pAo345GnBa4MUPIxep3MzrlWj14rItUE1z6oWmNJynaC5JbMYQekxRekmdTVfFXLZrpx+rO6IA
n1uCQ0eR6oNHwPO90iJmi82ZTZn8h8LlEUMmMcVcsaC/uF2/a5iL2emNnd3Wds1uVYriLtVnSqZa
HOE2rO5KB0Z+Z4Mo4QgDAMnCU8LtuA+URJa5Ud+V8yVbHrU7A7BoLo8gVqyP1Ps4lswxw0PdrL6w
g3h1ND5gMq6wQXKYKRkp8UPTnVf6ZCp7RXHH5zQZx1Wx1IEfO12xnaoyfU0Nq91lPXwt8HtIMaJp
N8jDFIBJicbDTriy5WFrlMcu8J/O2Rnmi5b6BQEfhZhJGfNm5gMzjaoz+R3UyrPiYAJoIWmvUghu
/6YMv3aFdZbuP9+Pzggs/qC0xOd824lw5Dk47iFb6abLUZ8PfduJIP5CZWYHoMFjq5qMH/5mJyIN
yv5AAlF8nSn8thMJifUlx07EkLqT+s+mA9Fj/rwTOTSZbEYTkYCBiRY/tYTbhUR4b/X2RWgUy6mm
mFVBU3Wi2vSVKRyWZbUEPUERBclA5jtdIMrzrOakYfo4Id7eWWp2dvpYzTtOqnyNEPrTrJiQ6HqK
C2u03HoBw3W0WD3HLunDx7EnG+UvamgSDUyZt6v2LZtNBdjdsif8AIK8SKSU4UZYjeL1U/Goqz3T
FITBOtnCaVt2hXpgBoIsE2DJUGk3QQ/1t6CzXdiM3eVMZ83qTTHLrJM2cY4LKtJ3+bGog5M2Tg/g
LqjwC9oXVZVv+2pPyR//bMi9OraT2EtFR5xtEtynHVKRfbAw1zEtj8DFrjR2LIJvxkrpW/BkEzEo
Ir5A0XLnwD72psuiQ9wPn7rJIgcSZsc8Vi0/L+cr+O/zZrQHRjp6FlSO5J1niGXy045BXyYIlvVs
NVBLVX3NTNfsM5lEitMZ3hRzOhLnIS7SBI2XB9rbxErBLCDgP7XeQV/LAIhnp8TRKy9umgcGHzEW
1uMJaGDvDTGVhAVqmkK7oxY9g91p4OUKmdKgCaq9iXViNZnlRaKXN0h/vEBUR2CwENm5lQw0IzSs
8NBdP5sz95UG+hnihNWQpTjPTMUbqvBgBvm6qRziLcFirPRuSuhhlenGmQXBRqM75woNkjST80bM
32lh+NjTUPNYPYnUzGA8FTu8mgSjN1wlPK3uDkM/4MxQm8cQIjPCAetIGuG2C6e1PVGJTCYshkVy
ExbDKbYMPwWJydViiYlvzRlsZQwJTRpEnjq5V1R7BBdW473MtJY7KId5qygvLK3otpFB+8ZI74Vl
P+RJzbG/vlSiiouJm0LnzdzEc7KEQCcCesGFixNUrxpPagUaUFAOHMbsdkqtPdG0GZp7RJXNYVxp
BqzBg65HR2apNKb2FqxS4/hYQNn2E717nILxQTPbO7OlMIfFaltE7iU7OLJxh1NURwILQjFh0tHr
RVohgabf7xBwMrr+NkiWdFUmWs+YabgPWzPc1V1909vLU+qEz7VF/3CK0aG7SSwZsabmmWp/P8Sq
TS+VAdHSjg6KUh5Ip7xgy+VqHNaAlErtlsPXJm7Mu6pVt4pRXo0qOvYpNm5Ncsq+E6nkFCflIozM
cywqxUOBuZni7BGsY7EttPklD5dpl87hrh8aqBWR4yKTpSNDNbYEVlc8JQVtzFkOrWbT4hxddSb3
qqnbUF2aU2ynm3wkfBbombmWEh8Q3+Mma+dLTTPfmywi7tbUF/Q478s6iA7A/bO1rU3vafz/7J3J
ctzGtkV/5f0AFEj0GLxJ9Q2Lxb6bIEiJQg8k+ubr30rasiVZ1zf8xh46bLpYRRSQZ5+19/ZvElJt
F47JM1JkIwLCPH0delaSfY8lLwgNa4lRmi1sozyHLj6cgMp3rDVcOug0i1RowLgynpbVVNpLq4x2
1IK8OlGLzd5RxdGOz56pOgnNek/b0VyVI51exCFxQaGigPR/rYEcwzLeUb7zXHzQj2CQruIhJWCk
rghJb9TApDv2z6Nh7UMqwQhE41YijOQkQCwnUMsJ5BJb93VSB8c8S/ZRW90GUfWVbO9mBWF8MQFt
qohdqShOc0Jd1hXZ6SvGs1a0Jz1da1fxnwkgaKGIUFexoVkTLGxFiw6KG4374cFXJGlX0irWK7q0
iNPnUfGmI+ApEIuuOrZowR4NoGDwVGN4HxSt6iputZisY+Tkz+PEJyr87jYbWgPHaPlQYyZamo32
YFj2e8SReTGlrr6YTXuvN+Vn37Be5lr/2gsuBtaOd7LmD4bJxVzZWdtwiyiqTZW7Vz3ceWgGAo1z
0DBv95e2lt7wVjGqRuc5t6yNbSm/T68ZixkWG22NAhhP33dlGkMJk8VoDfatIYOnyMUkWGfxez40
KC/WwIZ2mItdk/b3xEXOS1InScTErOY3i3+n9o+p3QBe+dtTUvuOafkXJyV+7ttJiSWcoQKG6db7
OCh9d1IyxCeSEEyES8exgecA7r6dlJxPvgCMVCIphqA/B/aPnlKKFMjkMX5rN/0HnAyawc/HJORd
xhjYG9NSquxP7sVcZlY5Cc+5zM2531Dna63IJ3x2WRyUbvdotM59Ol8HlGwCa64NSje7NrwPVAvn
pNgIyURbUdDJEp6yTnNI73PV3ilMVb5DoafTtu1iGsK9pOpTDwtuFF25sUUdLCPVB2ro4oXSefkm
VFeoqVpDuc0F+BESsOPa2QVhfSiGiOobM3rM7fKCCvvnWWvh+L16OcTV65Sk135kvtaOeBr7yVg6
7XiCEy2XU5Sy166SY9cxlNskWj1OuvcSQ8IeC0laqBhsZ6XL5D7tshdSrOc9wto+oA5w43jzbq6M
l77JL/2CmDLHvfXrbcoMXflY/Oi2v++i+NmLtd2gl49NrYUH15Arv7GWedFfigRvMaFN4xRfKvqj
mhjugzj6UrLf5/QIou4Ml74CHcrY2FvlBsBtwVBI9MCtcuy5G9mmz5VBpxe/4rZpZrVO7FeZRY9U
i0aHZml494EVLEq7adgbwiAGlEUkgXZBfNdAM5PbY9zr1kOZ3MiG8FSdHaaFu2TZZ9muKrMvtRYN
jFEN66Fa39bOHDHsdleT5+/ofnNIYCYlPCrM9zaOrUNW8HoZRgI7nFmX1m/6PMVYlZ0Los1XZZO8
jk7gK4/DBbZjclD9y1xaKyeh8xCinq4HJYG7K9emF7G1RsIgdEwChUIoQnSjpTP0YpGl+IgztyFv
M6bejAcxF1tMw1Kbw4e37qsttT1Wj3bTNQalaGwxDWO6Hlxi210BuFSZnyeVumpVyU0hODNH/OU0
ad7boNZVnqFouI53UWlin3nlSSbjCz01D1HTvMnKG1ZimILV7Dg8LqnGRqTnYJIm7b6f2nLVk3zR
xezTZrbaAJn5NQ0f5jLtx10u2nJDAwah8RPiRFruTYP8W8ikr/w9jqWUZwtpNYX+QifRlznnKdmT
DTFl5i39ci/EghxbMZzKmclkbosDPogLUoj3Rk7oQUbHhdd7b0kT7v0oxMtjZAsHR+vQxLey0+7j
0tnrRXnoMG2WjrNP9fAMqPJSNNm9k1Z8qPNwYZn1kVH/1PVpu5DpeJ3l/XYM4gurc+Ddh530y72o
efBM1q4Ko0No6TRATOZRYhEfGv1Kj6xs01GnEYTt0+ByZmmsmWNVe5adUqdm91D7xo0dy2Ma9zty
LDveYd7tkx6nul6fQumeC9l/buIJNCc0bpuyeeSReAzG5NRFxAaH001B2D+RXdFjmkUbYKnHMHW3
dljucif29jg7tk5PQ1Tstiez8FVtnMnWN9wzZV7nWg+/pbNX6ep97+tP+ohl1dMzysWM7oa6jIuO
BtUFMQgREkX+xAp653Y8q1FLaCZnOPMK5DbnZfb87aCx+/U5psX9c1F3u8bWv84NmXIxe98Zzidm
CGa0m7UivzFiziKZN2TGxispb5tG0zxgHyKww8mOVMexTkj3NC4TDCj8YxRFZ6vPjkE4DYukDE9D
gNUo9ou3Pm7xvdYZKeb+tir9y5rwAkChcZNXuqBvQjzEorsYSTAxU+2SzK3bWf0J4TLfpBj5NoZr
E+lGhNrjqPdn1nyXeoorwXGxEE3Dq6ExBsUyjPmecAJv+VvUwt4UHQnolZe/SNM8TT7jbxvXu7RM
tlRCDiuUswfX0Q8VVVlRBEvRaNc9lOHSsO5IP8SXPb8lmXs7s7q9KOxK7vWQiMK8OGmqESqoKJaZ
7Rchna1rBAvLhFdLWjI7hno0dikjrWGE7yknRGIJSv04udMFRKmxEYJMdJ36BnYtNZEAkYS15Gzv
hPquybunZohvK0b9qQvvgrrZFRqj7YiUR1PBlvd8F07ZY1tFpF9ZV6kq2tD7pZE4FKlSaGJbJcJX
eBfrc7PynH6nYSFvZ29fN871nIldHfp8NOKsVTWZa/10DVF9SyE2i0BwBTLDFaIghmtpOqeG+ERn
zcLcyNZoXfGDncctN3/HPRpFoAIYMpXbTVNdNbsM4j3fTjQKWv4WTs1bYp2/48C4dcPCpyXA9hZ5
2xdr2tFIe+jpiAl78Lu+y996HD2WUyRoprPNbGbSo0DNxgg/apftLogwyoxZyyOm9/sDWb8A3dr0
tajRW/kWL9IJ476Z1GLBpt+juSt7ZElmMLE7iOLYojeknrvaIk8cvON5eAGvI89FJdqnRLgAlPZc
a1Axg33dDMV8yLwZEmHILKyXYDwC9IV84lloF4NZH1BRrwyPgsQxWbvG/JBXwU1IhUlXGeHCNYul
kXmEcIvqKRjsZOmGw7oWDa7rdNx2BLKvzbZ96xOaeFPv2QrMUz9MPGRoVyEHnZKlBXkUd5JgiJXn
Rq/cWR90s94FQ3TWbfoPE/OIbQlAIaIdOObU32i0r8/20Y3zE0lPJifkHN0/3WgyZ0TnEV1Pnbdy
6uCcIHRkaXnTNkrGzue9DJ0Le4x3oiaNJpV7SnUWdqmnq9il781JzGt/yG/bkQdGOZF2URR3BRED
SBPpkaFzr+vayWdy5Si0NcZq3wZU7KTRPnSrI57IR8cyj1khDrXJk9b0iNORnxmMWZ2G12PASWGy
JQvdaI25Y2lX7TsVqReUAS4bLrqRuKTOzz5j6iV/xy/2pR7f1EayZmFHaRD6lplj8Br12ybV4DEL
TaPhEJzQDdfkWWyCHlA4IHO685tNm4hd3hlPvQfinIhxY2sl4g5qbMD1SIRQxd09faJ8EDTIDnEJ
GGs/RZnuwozUjuSBouOt6c1Xek/QVNqKu2kATErkY4kOyORsqKbo+EtQlz1b6aEDtDEvB1u/DELz
ZdRpC40TSSC/u038eO/Hur8JQ0K20plNt33ZSsE7HrL2wjG4WMJysFGWULgwHIh1MDneuRTlobDQ
EzLPWUWtfp1Z2kXWjsrDZm6aRqsXgR1BKjd6vosm59kekunW506zSrPxYhy9bqUN5eNoz9dSc54N
Iwk2Mq6edHwnC93pNmnTU6zZ8K69QOx8deupyD6iuiHahXWWLMGyThLEJw21+Uzx0FGKsFoZDtnf
VZ0zKRIvXk0VbCf/RDLqSvT0DsSjZLmQ79EMcDO2HcFI6qltW08jsAF5YIQ31KOfLegRvBRpfAlv
u7QSK9q70dxcyKB2gM5N4ryz8DDUwbXfZM96LK2d+rqTCgWzU/A0T+vefPYiSGRpXaMjxhe+WRCx
L/eh1O8M7H9zaevKOIOQUa70PL2oQvY2rlVDROdfgd9Y5ZgGw6x3l7bU7zHhp8iBfUZtK2bvp0lU
N/5YFRQnuJeJCC9zMO7MtaZjMSYPVeY/W6N5Q+RcebTNpMBE6JDc31rPc+7v/UZoy0SP0WB6/sda
JahpjVls0DK5SzJ43KaQPB1DK9fN21EkBmNEXaPWkutlGUhxpqOtDREH8z9PgPUdCuzAXASojKP/
NEAZsa6PhlHE50RK4jhPzTwufOv2u7Hy6jei5fsgOsWx/Mm5qJhR9SKOsFhamoJRkn//XTpGGhAF
pzVNTNPOXitOuhYtNOuuHe7+/mWYRP/6Mi4cpqXbSvD6CacJdN1nCtA5uBtfh/JeM/9xODsIpSV0
w9IZNrFt/fg2Gn9yytLJs3MxcKHtvAAPyh/T9y8+pl/8/gROGHxCfFAstH8yfYSuEmjtKj97zB32
le3/l0BZtb3+y5/hu8/np9+fhC+BfM/ng3dTy5cpVDyteejt71my+vu38ouXIuGQlBXPsrHQ+D/9
KTIPvXCYy/RMXQQGVvqz6Y0JrSWPYfzXf/9a6tf+6W398GdBbfj+6mLvmvcuzdNnaS7R30jB4qvF
PXXqN3//Qr96U9///X96U4Wb+GXn/fZCqOJEKY7RhueIehTL/3KtqV/65zflC4FtlacjURcKHfvu
K2PahVHy4GXpam6C7LUf13bw+e/fzq8ut+9e4ufLbW4o6Q5BPc+F95oEz5b2/7icfWqXXOqEDAHE
/eNbYCNst5bG3jjhDoiAm03/j5sXGzIdgg8eD1QMZuT7D6nQCs73VACeZ/d1cC87tfFp/8u961d/
dC5iWFplIBVK4/r+NchQkAWlL/m55uA3LdXGxb7uKexhVWb+lyv5F6/lUXxPaZzruQL96cfXigKA
RD+xi3OkZuo1KVQRsXEVmvrWuPn44//rOjC4Pfxx0/1Leuzle//6hev4t0TZ/Zf//d1krH7qO8ET
8ZTrCgIIL66KW/q2GkbwNDxdd1xSZTFm4vL7Q/D0P9kGgUf4AdgPqx//U/Mkzkan5leF06iwWfuf
QKPAqVwEf94ZSJ9xaaNVzRfsfHnBnyVPYtqkaQfxdI6LK3Ny26URMHuPrX8/zmRM6ROxc75RXHhz
dgPh8DbJTFu6rPgWA5jmgjAD/EFU1DepfyZlp2Tact78KD1lnf8wz9W9ORRfuy7cVJojF7HvPmcy
lwuvcYwlgvxWN/ILOl0pJQ96n6pVzro65fMZDwMkwfTBwQlAI5JDeFdQIQYGxBka9hN1mw/hNL9p
AUmzQervhqq7T+P2qvYt2k4CsdV975YAepJKx/Ay6NsDtA3l6VpzFB5D01jgqR9L3vO8Ssgyrbxu
33nRhqNHsOBLsyki7bGTDAisM4jwveQhtJkt8kgxtwVrIG9BxXe3Yum2qbzMY1fHhsESJPfF5yYV
DkBJNd3OdMXGfUBKomyWczXiVEvMeEksDrkhBc1avmY/5zOhjs4QuODpenYA64CMGUTDbj4gz7NM
Vt6glE6VSjlZKvdjXpiCbdYkSyYU+4FNE63vIbs8juld2JKdYpcstEcHnfReDAMHPXyAFaGdVatH
6yxp+xotNkwc3Fhhht+5RIOs+viCaX+dNtNWz8bdPPQOlYaktyUh1R46JebujJ86sMW95UoFsVnv
MrFPmU4XWt/OLzNNuAun4cKhnO++LYqXOHunEvVAhEoJvd/sp64jypeoGycpdqWha+solaoksz/5
OnEMKdIaYO3jZDmHXKJ15vb0Wgm7urfy5ibMrRuBY2+Qw74zxu2YJAFb8YAtfRzsqEAj/bMyj1OX
ioWvSXc/aZBoc+49aH3tYcrQNoNvbPUYLldtJb1g2M8+1C38Mo30YYEjVCNptJLbGHf5QnfxvRjB
xuxooNNig2TH7mFGF8hs42tp8pkFCXOPhxAfpPf0vz6HeX01RmyjxtZjaz0/NTX1rzrrReQ8OFn0
rGJsD3lHxC81fE99Oy2Y8V/bKV4TEnVki0sFnnx24qFdBSZCHWgsWmWd3XVWfR/xmF3IDshMd6ky
IoZGzjAVrftc4StZ1J1zqnHjzGDIukncyaSNW32alnnXvdheeAOLtnFFcTYt+zxKfPiVMxvgBLAO
lVNczGl/aZjhJi2+pOyqO+aLdTME2zIeVKiQxV7anq5ix8ZWQWKoT4Asr91QV9GMSxw6r3lA+oat
p+2SVB9CDEOM9v1058wtye9lBuxVu3dYjo8w5c+zF50yf7w2DW1LiiipKpX/Jcj1Xe57XEZuRZRi
zgUY3GXJPK6DxHinHQGIrxd3XMZPbktmqwjKyzZ2rhvf/OLPU71OtOGqDBCg8kZYSzbB5PwGlHZm
ToQY36Lu2OmYXU2pf5NiJFWDMXmgPRGDOaT4pnD8tzFoX9OsugoEJYeBawerZtABKaYKCD2xj9Jr
rKvZ9LbaVEZ4dqjGupWF+BxMhKCE6Xw/l+WFOYdvAs2iy7ppR2yCtm5T4zLCEbVoZNRspgxBCQvp
eynded1hssTOKjFatpW/kK3PJ+C7uETsrF4GVn0xC/fYGgImXexpwrqp0b0W+mDundm6JGL/WOa8
yzitVrKNdLQozSKfliz9KO/Qg63fzuT/PvItnrX/+ZF/+9H1vqy7+a+PffWTfzz2MYt4QmD8VwPx
R37cH4994xO2D4fT1x8+xG97TpcDAQ9hCkBtQn45q//52Hc+kX5owyzgGGFq/GdEGGDaz899joaI
347DMdRVv8qPh0OfeF0nxHRxLsa4JP4DhROo31hlcFgxgRlrQ+mgDf1Pyyx1M/j6dl/ZAjMfVEiZ
58MBjckkxwIHYat3u7AM1zTvUX5dlwisBW2FKF7rxE3ehqDm0aiU2r4A/syUeusqHVeTk39FFfu9
rXTeajAnvppo1imWrrAlOTV+RKa8y/O4OLsi0JblKPD9x+hy+ijiQ57REGyFlJL6/rUHpEFwu/Eu
tJrwbUMb7orK3znIzIkcp40+FmutGW8qAY9dymyfadVlX6DYWNXW1huekPZ4kbv1LfdYuIqpPDW2
i5zZmtsUKYA7SfN5gvgF7wz7tcutZmnGwZbH/C2o5yYaLcRUFCASVeN9n7kvQkTuchgHGmnQtryZ
XSoy2LIbUdXKWKzGtIuIOFIQ9HwThGLa2Zrgo+ni/pjFUD+5HV76Mj74Hl9qhJ313GpfkiTzF3FF
xzroyXaY8ZdXAf3YWp/SHY3Evehmc9Nl3pUZYjk0W8VXE/betuZNwqOhbL4YXvnV5X/XTXxkccVD
NhLNa9QVFjSzC5fltquk5FZmEo2+YFJalBklhlNmsU6cmh2m8JuJlfJVlYtTNSbjWqeRlSVM2azw
3xpbUlDuLKpe2QOS1KbZ9ww9/qHqkx3EHZH1VUDoG+cHL0g3SM3HpmyvhqBctRi9kYU35ehDi9vx
o281FrXWBq46QnNXflZt5tg9TdX0ZJT5xir6Fwsr0z43+5u+oeJUzMM7rzyuRzN7791KnMHQOd2J
6SoZOeYFaXTyOy246M36jb07WdW1MPZEejkvkZa7a6g5315PRVOt9ZnuaJtWrqSXlzAnmPHDsrke
m9IAiZnUMcuUxOTYjvfFk95AjKzJicLd1HihWjPYTDbB3GZQP/sWuzl64Nn+SV6CZlLZpbt6gCXq
bD5iLwyQUKL53pQlERLGNBAq7d56lcMCdHrPoipdidS+yQJC9B1C9ci9vzTYVQsfcZAawVnVv35J
Zunv29L9MqqYPkRm5AvwllUpmmuazfmI61NAQsPKJXjnQBEABDvrjCq11pgK1bPS6xZinPiJkbgK
yvCmTSKCr5kMrmjo7lZW3urnPupKwEbLICQnO1bYt9az7lQ7wvtWGht5WLbDkBjNin7I50TOitVr
2wv4Qf1kDrX9rutBelfqFilovTdp8FvR8HsH2b9PJzU//uen05mC2fD9r08m9VPfnkywypbCjqHc
lNdFed2/PZloMmFEoeHDcDwUClUA/u3JZNJxQniqxwPN+y309A/XjPmJhxwPE4f/LQ0p6Cb/AMKB
svnpyUTysErH8tFXDYuA1Z8kksoRUzy4eoAZWZBYN2epvxRk9x21sdKPhduQTafpU0fVfXSIg+nZ
C7FhSPKRzJ6gJKJsBpfQDxb568qky1eXlVyPSZyQ+uFE5QNRMuQtiY/sJVgLytU/Epkw29WvFtH3
722nB9gaVG6T3fRkd7O2Kji9byJg6GrdZiTW08JokX9YJ75zAHwFyKdVpPnoF0ljSddIompHxrr+
qhFKzWMN8M+OA7bEtJTQk8tuU+Glmpn4m0yVmVCRDGdNv0nGWlXSd8Je/TTTfyLMmfZznyh67cIq
sz0lsvsR6X5pOzWPZUGJStlgrjEaK7qQlrPVpXaVcCK9kYF3bFUJCw/6AstOQ4hdU1LmoQ3penIS
wF2pJbRpdOexbc5aSvfpAN+wmFhVcoId1hGoNy4Tp9Wgjc2p/pqa7W2c6bcEmeWUPOM/vNKqdD6Z
FihnJTehdKInoleXbkspTBPkp94iyMQso69uEyZLQ/LsNkqPVVrHLGvmt5pjDxvpMbu4NIav6pp8
20rVv2TOAjPhuAhm11kZoojOfUiWTyzJ5jHhodtRK2+cgWcuaTHA6BR6+x3WSkMAymgnEjc3ZInh
3u6kdd/4tIYwlfFYz7yNTq35AhliSc9LTTKAK5/toCsw6Gjs0xYFwULLZoLZ+u6rePWbqPL93uLH
I9dHzrSq8HY830EOQs7+8chFrvqgp36TXBr0nm/MbDBeSWL3lgMhJr8XA/97/zNRMf/z/Y/T+f8s
6E75pXOQn/x2D4RCRPCyIfwM7jMfqOG3eyCinGNZeCSgCtHEfG5P3+6BUIhobhRxCBYRP3CIzifw
RFRn20Fjx+3xz/K6PjoMfxDl6EgXJEzjJkH6I5Pkxyul6Sbb7lNPI4Qgp0Op3PdxgHsoc1gYKqoq
daedpjgrZrtr/II+5D8M1gCMNSgqC32HZBA4Lb4syRLdD3+xorgqxXPFgF0k+z0Q/fki9eo0kV3H
d8y7kIoFs4DCAmneh0BiuaLFwpYUiI/WbkAyvlBLtiMNhU/6ta9Ys8GDNKiTmlIR9+toOeMmGeRt
biT3rqDeZ06xg3caA27uV09WR+kMnnQCRQG9k1BC2pQa4aNQ2Rzbt0OqsTgNTBiqjvjZ2R1IoQhK
0CQICG0VjNaLzHptuk4Gquo3GeMAh7tSpSCQiqJLxgwVl+Dj7+D25W+kIEqhV6EKWEtcNsrmuleB
C6lKXlARDD5e51yFMnR68qUlpSFQcQ2k+9scnC+z/t5oKKdBEfUJ2SYdmnn/1lWRD4Lsh0SFQFAP
bayhBUjrKnsMx01zqPTiDVAxqVdFFlFMT2go5kknt4zrKg1TAD/XXvGlv9MjtDa348ExproyVj4V
VvnAmazkCTCWF/g0p6Xm+uvCRVwN5b7IystGNNscbi7z3cNoB08EUSIApea0L4mN5gyv70WnAkB4
3yAiI0ygwzpaz4gH5Pd59MI2PvRqhgJSHxaemqvgJPMz64K7TLE4uWQGgMY9Wh+gTquYHYJHICnq
D5RHDN5pNqZrvWFG0R0a4xNF/tRSvw1BgQLFBM20dVVAQhoYE2bNaztx93Cy27TvduReN6sevKj1
8vPoA9OOxoRLtF9a1K80A/RlYnfAp8mjDanklkS4Qi7hKwlpG2t2I0yThG2qYZzI7n+KW7ETCn4i
HlEuHQVEzZBRY0/Yrq5gqRFqylH4FH/yZNF1yXsCWdXX/G7aFNqklaiYMPircXa3VKa8GDWpdArQ
arvsNENs5QrdmhTEZWrWbdwNb4XWrPPmru5om0e2ug6hvyQUWCHnA+ztg+4nA0MUpCq8GPYMcgkg
yKgieskVUqa5DkArkJkJbRYp7EwoAK2CRPMDUa51+kBmZ0YMx8Wpe48G7FrZaBzlR0ZJ+43OGVhd
RbmF0XmAeqvq4SKCgssUDqcb06ZSgFwMCxdAzCV5cdkphI6ikrdeQXXmEFz4CrMz4e2yjP8M/m5Q
IN5Q53sPMq9viyP/5Qw/Y5qI0uB76QfJB2swLZ0Pvi/6YP0w9Dwn0H+FzbOZzPWvs9bsgB2fqctC
b+3XALTbxPReWjjCvMNIVEIWomATYGzCksmnSaGHhjILDxYNF1CJnqiI2VWgYl2bTzHk4kC7XKZQ
xtKzrk3YRhfG0VCw4zT3J1vhjyMcZFDU3t6v5S6CkIy99DEx0otQb+7dQuqLLNFvWphKQ2anCMYy
1bvHNLduawVf5lCYVq72GDUVdAa2bTDNcCIjlX6hXWbQwgHJyUVyKBXaGcF4NoG+oTKNDDmcYLlR
kQEOQNLDhZbwoZpPbYYJMFoN2t6CINUhSVsy1nPI0qFHzp/Ti9FvCQ6br1uFoLp5dTJhUkfJJeuh
luTQqmRovKSEt1mVvW+hWRuLtAfoVmFGDz20qw31SqRTxiQabHob3AUuNoWPFQqUnSFmAwMXCQRt
oVDaBqY2KtMjLUkvI6ytr1xuZB8sBCEXywQe1+rjTQGfCyR+jOF1Px7J/55N1Cjz384mdfFaf4l/
5SdVP/3tfCKsT8JUpwyfgevjPPHnjIbVVEcltHS1uGM3+Of5xObfcAihu56CCsf9PqrM/ERMggqH
sR0OPVgl/tGMZqgZ7PsDCuQN5xzHtTmdYHfVf5rRfEoJpc/ld6mlnoHIQPKtRzrA3lFpuP1HMG5b
tTU86qQRmIskbrMqGaomucegwNbrI163qEnapd0tpBEO22p/DaBKGG/HjKoa78ZqJqcXB2Bi8A36
LcOX+icWUOlHuC8DZE3Sb/sR++u1BMnXdkuoVKFhMVnM4Zzc5QhX9/jyEwMVU59uI+ERBGUkSbSR
FDfOJcPcjsgnUkrszn0oRK9BZ7Mde5DsIEjLsuU8La0CR/tSa6oCdEoirKW9fDbzKnnWbGnvABaw
kYo+C3DRi9BbZF4Sn+aGlSIWzjkPl17sBEu/NHAO6vkyN5MOasnNL12n6G9yplJyvlMca7Fb9DvU
KZssgsp7McjVmllA+uXM06pzxoXrxba7TKg9vtEEpXTLuc3jHTHp8+fc0PBChdbUFMtJ5yFIFKhv
J/jjLLMDvvd6s93aNX8QlBlcac+AzEKsU/auaysRXVSsCVEm95gMY4KBWJUO5jz7Oz9E5l5Psg63
LqET103dJy+mXzTXvtu4mCUdwYjI8HlH6umlbzaS9YvGp3lVaGGvr8NGrfXCoOyqfWSILjh7sZE8
p0zRd8h8GQktjmrGHAo9znb6R2mm5qkCzYrT23jI3dga3p3BC999fEVb4PQA+DyioDNWXZ2NRqtD
rsEepV7cPEWmkPW5wnPPI6pd/HvnYvzBbMWs+vd3rlX8Hv7CBK9+8I+blvNJ9xhbVMai7oImfCcs
ucxb2NnZOPiUYSs56ttQZX5iraHGrT/nrW8meIPoLJLSkYJYUfzTqepXwhLMJfgTKV18Jdmi/DhV
xXzrm4ilxQnULMfZQ0Bg2C47x04PeczFC5DQz25NUK0uDawBBSWoXRmswqjg3Idh/TWNVM0IzeZ6
9ZK4mRBXbOkl6/GeHeKi6Qv/nJftfAjNLov3mAiMO1IDNHsvGr3WFr6vtec8MINDOjk6DSJpmojb
2GWxeuR2lTWf/SJ0hlNtytq+Zhzb9qQMv7NexMVbxB1jiuV1hP+qxG//I/y7raZ2b2UGkwitHem8
DpQyNluUzSKoRPrRUMpZXVUJ1lycY+to9KtlXdXtutOn+Gi3E5G/wSw54/iB/9o1eJOJnwlAM1yL
EynSRHcVGfYr9NgLMPfnxOH0CKSVL6Vjv8s2fyctTJDfklfWF3xOGEtA16tw2Bezbm/aVOteBiiO
RW/ohNoMKS2Onk9bX8t59FFoRFj46RB8HmN8BhRVGPtIC6ILEqvzXSpq9xJ9aiTIXVZbC8RsWfd8
rfO0GJe2J2Hm2NQRKUDPR9TIlYOcQpldQIRBfvQ6v1zaQc2+wLbnfWohuFESzITpR1s3rvJFHRop
hlovQUJDO3JpeZWe/04wsrb1+nmXCQ6DqIPbKRhwqDR5uggDnM6NNT5ZkUWb5jBTGEl3byl8EG96
hdqoHi5Tc2QBHhFR4mcqpRgejLW0NM56mKa3KJTmTeE4xXuiW/Uhr+LiEd92jW5VfSlYrPzWofbv
ecv6+7sWw1Q8lR03qIJrafoTz1I/9+2mhdxjwceiXHOk+i0N6g8lyPzEGYr7GcoOgrRaxv5+07IM
GCw0Gl3lSOEXtTj//H7TsvRPHymxHkHrOncZtJt/ooZ/QHrfn7Q4t3vKFatCRRDlHW6q3wODBKyT
7FDTbTLWurspemtYWNLCD2cNu8glhayfIFwI2dHPvAn9qNMOSoYqvgvcfHr5FBMVfWIXrQq5zOo2
6RxrZ49dczmkgfwi2yDfuhncT5S5TEAsIeOl9DVsmLnQxqumztsz2aLWs6ZTZywCMkuWQSBwsRRB
cZmG0v/iEVU3jZlNJ4zQDgbZoNuZG+x96032c9azUB0MiovbJnL3aVfw3HY7UkyFTdaT2em4PM3G
eC/tLnsiZaTYhXbjr4haa157Mr/WTL+QMbU/bN2Ecoku6uX1wNYrY57dhHEoVz3zL1OyBv7+GZ9X
ZB0F6DPlK22Zdlsxt532boW+KhG0Mipiq6Ap6rMbSb7xIY3ht1HiqzalriGIpzVRnS49n/U4QQkW
W118qxgoyAjt5aCtbMwDBCRqBdoXd+TpDRtfhb6E2uRXwfjsUMH0yqHXLhcacUKbMHLsw9SRJdUO
5fxq2ja0UQEofwwHWKk4FP42kH34xpUU0/M1z69BE83vTjw+1TQJF2F80FwWq7lw+uVgM9hqcgjZ
GYpu2qaTpx1DQWtMWo70Nbb/x96ZNLdxbFH6r7zofTlqyJo6unuBwgyCAEeR3FRIHGqe5/r1/aVk
2RStp9eOeIteOLyxLAOFoZB5895zvkNs2GLMCtpo0RBE6yZrCWWsehR3ZVJ9EnbE3NvV7oykCrck
ijJykGR206nbrRU31o0TltmuVZD/0Rq0Ltks1GWmSwi43prFrY8l5BVzh/tFsQdlb6QtoPcxO7Eh
EWPd9uOmVxiyw8CuoO/ioyzfbKVA9VX6+TXUJAm2mq2nAC3Lcnbt+G70k/jCBp4NdpZ6WgM84w0z
/ZomAaowd6Ny4OYNPMOWuUdB7T8gnh3ucqJeV10xRjcKppBz2KORyTkawZ4XoicWoGGE0VPPtqtm
NBvSs6eBYwhk+a3e66+uxSaf0tQYB+MK6QPeFEKttNeyKOd1FanNwi0bSUanD/hPBfmtgkS8+usK
cs1s8jlqnn9WRfLgPxZkHQ0MimVcF7alfT3EvluQNQpL25XDRgwBfy7IBlkauguN2/3zUd+rSBJ5
XIOURQz9fx+lJGvEH5ZjLs9+YfIPTwrz9cfl2CSq1on9ej7N7afK8dFa/H7GeB7/Z/BKAlU6BUX+
fkokn+HPK6Dx4VlVB8u10F1O1uJDlQr0yyrH0tBOzagsanVtptGiMV/6fvvuC/jJdX58J3+9Dnvi
+42lUAgJryNTO5kIMbT6YrBffn0BSYf45Tv5MMUItCrXO85jJ320F724s903wt88VyF+qMeNSxBy
/1h22y46tyCatOiVY3kQnPUCWutNQB+4rQ6WGawc6DiBABl1MyACGYm++PUrlSeTX75Sbqz3n4UR
KX6LMoHPwlhxYIcI/qkjg7zQxGnAoUqKARl1rGQ6e0eycKzI+/ULkMzJv7wATWN7V/n6aap8GA2S
Oqy1vWpPJ6o/4jI0t04vEkwKrTeV+JE9N4Y6uIsd0FNjszC74VpLB4szMwllvarMXo24d6GXnYr1
M1D3AwS8epNmRJUY+8FXoUzqSqzdjUYWb4zEhTvkk6WRx/GKhLJdyQwCK+2ajYTG/LQJ51NvRass
AFSAwAXW0AZf3TnTz1jGgHA9NMiwg+a2CZyj0aZQcaxlzwxTJ5yMHQ6VMAEHcblMzFsYS9XSMhjh
EJkUTZrXYdO21Ww1lNupemhidEUKAp0hP2ituAJjHo/ZpsevcpeZwJ2M2VgV7m0rrCVEdk5aoxyk
BwKnUUVOo5MRK5ikj0yowccyzXVNv1kmgfgPZqev9pU/f5ZSJ//DD1+WkO9vkSFicNuOzXxSN8bW
380X7SdjgyH61Cy0i3bLmWoF2sib1oa3p6ZfF8vxUdkl63ajbqwjeZjH/3DL/OSOeb9M0AZ8/3pE
mnZ2Jm/ZItkVVBTDsm4WSNHVbxvWv12OfnZnvr/OhwXPibI5DRksnBQqoNvxpQo8YrkQ/9DR+vU7
0uRN/udH/G1Fev8j+NhU5H+uDTfSTyGDzTPm/G70AO4PDY0pLzihQP71BX+2AiKEoZNJuAONiQ9f
aWZl6KRITT8NxFjn85deOf/6Aj9bAN9f4MNnx/iOfl6g66emX3aUfYPiMen7D+/iP13kwyrrjq5F
KCoXcfvDXO1b61a3nn79Pn62Jb1/Hx+Wx4m9Gl2GqZ+QmYLexhViXbvxpRuO397Lf/ukeoye66Ip
3tr/JZ/5uSinmiTi9v/8+Mfm25/ZdaVv54c/rL4eCK+613q6fm26lId++0HI//P/9S9/P1beTuXr
//4fn18QoTI6b+voudX/euSU2Md/Xx49dl8+//wxf1RFmjxxcgKk/pER4nwFf1RFCBaw2kqmEj3w
r7Em33troCcJ/GIcACb5w0DAgagEAAF20jc1w9+KHDTUH3+7cnm0DZJTsOcxfuA4/eFWT9u6Vcdi
VE9tXDz4bm5urMRQDrrSAXzEOX0FbKbYMp12L2XWxbpAAOu1WATqgviFIR/p5uJvuajruVsIJ5Fz
YGvTD1DGnLE81kBIyh5LUOs8az3DctIGAdJ2Ekwz7FzfWcPFUZdlFGywC6SL3AWLaA/ibsjrrYjC
/LYKAhz5ZflMJ/lQdOVdrYFrFZkRwcyontNJZuk2ImcnGrYjOSMeCB60/SweGy0W4qwY1sG3BnfV
frUCDIqP2hF7QIpPYMIvgO/m2c+IVAWfS9dbmgocDIULBA7XLXN1WD0IqjNpQkgN4I8+M8+lH1nC
wwPPAu5PZw6b9arGx9DgZwjN6tKRBocyTB4i3bhtC7dcKnggSsiulCnBXY2QOgI931lYoLNZ2/r4
J1RppIjDcEte2FWucrAiOCXDcRHP7q2GAhhnAGaMWldv0czBUeNLaElZ8lJp3eCU93mSZo4GVwdH
4gSvAgnEFWSoQahnR1pAQj+6ilzQREo2oHqdJhUgVF6+qXW5V6380pmjQz8Vwc6Im+tOhkSNpkrH
os4gEllEOlspiSVlSk4ip1Va9ZzJc1dHw+wyjiFqtmD8HuWNc3L1ctqAWcJEYsU7yCLuMWjqV73q
8Z7MdnCldIBu58iEMdcnl9Wkv6UYVEjetUDah7G0baGpo/MpaVOJGSxbk+y2PM3LPZnBp5CEEU9N
ndOgFAQrWxxzg6l4yxJhMCWV6CD9kjNh7nUGpUUboe7WCE3Gs6ls4rEXJKZ3T1YZ3kNQ6fAMuB66
D3KgdbJekbvpizQnF89p5ns7mqRT5Qv80U1H63ovcuVKc8o3gSezCyF6VKPj5YlVe2pbM0hLq11p
ZfuxNVciME6TlpyY48iGoktjoog/qYN/Z2YM2tuENmeo2HdkhJi8bJ3IXL1ZKE6Hp6eCiNip6nU2
tXsV9EuVxNdRBFy7Sx8Htf4CXrgAIILXbGr6S6dOOrjXA35UNT+aDh+uKZQ9eEGxsVR4DR0Y6mUe
2BcIvp8dfTaWTTt9Kg2dPpRWrssGEysN8Go5jf0u8WfV63P1ckiHLyGf9UriGr3cApRR6GTc5eXR
BfFsOdC+aAIRX+c/t+qwtmt6s0o6VB7mtwKwF5axKam8yU0TL5/Ml3Ywj0Olg3t24ovKr3XIPRkh
Arq+oQ385MTVIcvyOy2Z7zWlueL1oZSU8vzBPdZjni55wctg7gdglMnRqUY6aLN6jYXoaWrd8kTf
hzCjURn3SjIpuyIb0PLQJOsTtP50k8IyuXasnFhmcNYgPA2ZIm7zLHMdmltccavar/AGGkq6yzLI
jip0XKIeLa/SGkIfChtfW8FNPKG38QDqnuKCRAh3KNKlH6YY94LxKkbCi9VOfXZm7Xer8397o928
FpeA+JsfN9b/n/dZ2aT99/uslAdedFHzr9OXqCl/1ojg4d+3XMDNyANx2rqINUkDoHx8t+UaAtMM
W7JKYt2PM3g2QFoT/IVD61jKB783IsRvdHJ5mEoIzLch2Pey4/ytDKZi+bd1+Y/FKxsuliKgzq7g
LsBW83VC/87RX+toYNnygxMsk0WjHyLxu4T031/BkgX3u4IcG5JjEJOAYhWZFKrvD3VfphWqW6bT
eAlsbMccyF0D94jrtZ2Nx9EYrWFp51OzmTm0ruCTorXTWgf8JkRBchBb1zrate02TL396tjVilPh
QzSs6mhZijquBDrHYKmWGupA/HWrgqyPEoJ+BmAYgPFmRACwqQEwrQbN0jZ1KKpVUwwcYK0SlW5v
nWMSfTdlQqpxV5APECkB2UxBXcTKJs8ARtzk9Ry+Zczz18Y33InT4DglHldiUNyUP620UqBTDIVk
pbRfuSllNVZX7ciriKoZ0Ktm0soNH4xSO4RjCD8X59AigVtm9NUGNeTF0Fnawm6VS5rT92Zi3FZu
c1PjZAry/t4yM377VlUskkhcVDVeC1FdAAtDyR0ksOW6CKmDdSDPHSA0q0kfFBhUkUSotB7mYtrX
pvpYxjEgtdSWa391qqFXbwnGuuhG9UtoJdMhLA3bEz5GECfVXsOUhWRy3dWEJnDRcqaifwL8uB1H
c5Mb/nwg7v3Q+8pmJNq9BTi9yVKzXpLfRtlTrqohOmZMqVa+AXwwCEtigeqdX0fXVCUpeT5mvgyU
ZFfPMhm00XZ5M1K5hNlNUbeH0BgHlJKq9Tz1SeNNdTB4FKjrseRWxbe1Eigy2J/yZUYW2FhWx0GA
u9TikI+VAR6uOXjQQWzemGIqQBALKHM53sbcd3WiLwWztak9VlavoGoHaUd+xaZI1VdhdS/o0h24
r1Z2MNyMNniYmNFVmTsZYjIRmex16JxsBhUus9dN46jPiRLuZouICs2+axn8paFvLRyMpH6CWcvQ
LrAPX/U5Xk0SD2D0riR+J7OGZAvWbuMMrb6sDD54M7e3jdp/YuBAgBm1hu26T+hcjoWKUS6qxz3d
w/PMk/YaMjgcrrPQgJIrn/VGe1WUcUemxIXhK1vXvh/9p8KZ97C1nLUZB6vaNu+qWUPVOX7pqcq6
lqh5AXjI1Kdz4MeaZ+hEzuOEf8Rz+2igVl7Wg3bhijzwBnGi3T9lIvTCuTMoAKs16PVbZ2zuRNKv
xoDDthkGZ9GjnAUVj6Cih71Ia4FgbLbOXrsvlfDWcbI7pZQ5tuzRQfmm2+O+cpX9OKpE4sXWninz
JrXSbuHYJLQVGiLOTrTXYoghUI8HM1afCCeB3WTQ1IQbGq51LGaXmRiT7ahk+mPBpOWhcYqoJq1u
8olB9ZPr0bebxTim2kpARcfp3YbLSpHMulRG3bYAFStdUZcDP4uLvjSjy07MjGfSuvcxWJWW/IVp
SEkXlUuQiFP5zpfZghUVwgFXGt1a9Y116Yek+/hp2S9a4TbczIbMYurSAyMW8od187pVVUwG1VAt
g750FpoWH6CZ3WRlAqxwKMpFXzZYp13xYFkALK1+WXXKvLTHJt874BOPfongd5xh0idW8UUEODCs
agr5ySEvFuatGpTUjfFEZOEUXMQZXsMp8a8gSH3pRteLfUAAMTwGX1FvMFs/Gkb5xHQQGVO87eP2
DVvXKTXp0AU+BSje8Uc97tYgDp8KbFad0wA51yit/EH6AZvcWcRy0uKby4mxH5zCVVzpL5nVjpsS
2Fec94+94UMDbOF7Rt1T04p1WfM1J5xyfPuTljf3Zpd/MrUiW7hjfDOm00XuDtu2QvCsDPGnIJx2
0cBPdByPPaPGIKOVq6bWddvOJ3JHHsfQvCxi4Tmi/zTIuKUBWpYNfLcXLosFJwu+jVVuJU9zFTGW
ia0NbUATVRh20taJAKKPiBogOnuxad3g+uATTBFoB7l9C89g3xqgr5tIJcg6PFQ+rTIF0gVcxnZb
xMEnc8JIid5za2bGiuVmqXQjBE3efRbaF6Bbt3US7LXWfHTLHsNb4ZVOcmKYvEU1ypjJJ5NHTz4r
DpPBIdp2MEUXVed/Vttkz2e9jOYRW7vu7kU3XTWlyssUzT5WlW1tWk8+Gs0ehL1o+xsfEiyOgHlN
CBBJXFF4VsX45qs4XIivfVJFTA93jo6umW4qv7rN8nZeJnmx7UkE3jpuNkGGlLx5HZpn9GT5BQRy
wrh1vWjXeaZqi0KI4Uw7IFw4YFlXiVM/5IDE14rqnFRqT47hVXVoNMId2nDM1piHn6MUgAXZYMrD
UFrcLwjhVpOKqMwQUfoyEtiy1I0s5HQ46ceBPM23d/XZ72XP+2nIh+6WZH0JgxQMqhASmTTrQ5sT
06NGJe8rl3EMFvI+cb8I8+/acj5cQlZa7yqpibvYSgh9uVQl1d8+deVpjP9DJ/BDB+33t2GpNBkB
TJvSxPL+GrreTdngRsFJHdjlbaZHYPRuyXr+9aclMU4/Fmx0eyhamQxYulSH/niZoIgnw0764NQh
265ixHGgJJXqrhPngfO61UDTNL+hpf45SkhRxy+PEu3nf3np5/onnTv50O/HCAn5QRaH8NaUchDp
qfzjGMGoE/wbkjQTRdrXaOHvnTs8mg5ZkpT5grbaV5Pm92MEIAD0KDpUAdX41gr8cGz45THiQ9dd
HiSkQUjF0IT0AEPoBzSYrQVamtZmcdId/IQ47iSXZ5pQ/cMt0cdA2w24tFP8JXmWI8Sl7HzM8J5Q
IawdpOsFnhQbbWdsKqdZ8VeqyKhUY7u4SKWRJY7q+0kVD45Lf85pZPKW0q563C/fQKLtjDJBmmKK
2L4aA6AZi3qOS3UFnBK2omNyMNCIY51lLiuxSP0m5ITsJaaDF0ptQR4T5DrHNZEKAZhISO2zX1Bc
kAOy7WT+q0IQ7DiBh5wmKDiW25jLcCS6pe/Vu14GyMbTatBJlG1dkXjW15RZ4mbBh4cc73neSmbR
dj38GrjJDAPz+NmNXGc1yezaDgDCIiXOds6Fv0tlwq2ajasiJwtRLYz0YJrKcAHoHFcREcCeqOM7
lGfsQinG/DqIT+SPeTI0dzHMeAOs7pZTh4VaubqTp7sSXMECf8qFIHF+bVR+hzsr75a5kpbUDGrl
uTLNLKm6Y1nGJficIl3PvUISl7mH+kbOSU+vXg4xB8Zn86BtbaOiAkuil14zjkE+X8561hM8Qs+r
i+uHtMUP1BUdx5XyogudeFGq+F0DGlzKjKytkGnKTcFuVLaxsUx1axe31lXiTyElRzMsiZhfVbRF
1jTVnisdnqmuNlBlhpWolA34iAuADict7Q4GXTUvE80BgQr81K45V5HVLiA5aJ5K7bUS7IQNBWwT
d5uqMo62GTJRcwvFgyVQIA/Ml0mpbOpYYVxUNMcZSefCJBYDYrV1za5y5Pwq+c79SKtX2J4OtXlh
FDP2T9EyV0pUQHIDJT3DzNGFv9fH+TEQ/tNU9dM6VZxNwCkbXY16Lyo0n0ZlwwKMl1PVWksnCq4C
amxtzJZzMF5WjftC8wx3GygC3K/WLqjonc6WedF2zSkqmkq5Kgo7nV/RSyVbO8uQPpb3iR9UHpLr
QxPN4ph3MpO0dR+LRL1uzRq0wIRgE2frHKzBFOAyGsgGV9a1qh+KNLyMimI/xs1lXqTnPqcshi9A
CJvfDTvLN9842nQx9SktvKjzbYQveT/f6NZ8BDZM+EYaDcioTGKbDIvrik2ZYsSz52YFzmg7zMa5
Nh8bhYIu69y73NXw0ASHWie/J2vN3RCScF/O527Wt34fEWZsdlcsdosafpGum9irI9y2fuWfDfDt
2B04CHN2KbroGtSJDDm8mcsRp0DNySQcIyqWuuWHkpEx4waascayG62NxNrg2iX7hoKEmiZ0iMNJ
OZh33DmkF6D6J/yKJnh2JnLlwRb5W1GrL5mjQ4At0vsZCa+pJYQtViD4TQPHjirpD5AxvjiSB0EW
6BEKLMuEqp4zyYyA0KSdBjASKMIgXACW6CRhIrPGa0MyJwzgExS+60qoDxNQCgc4hSspFZnkVTgC
cgVOtU+5ZFmQebgunWnTA7lQy/rsAr1QsevNkoJhgsOIJReDQJwt0VHuHsnwncNwgyv3HhOeW01S
NULJ15grSBulZG5Uin4cJYXDBsdhguUgnybC4gepw4YBq0t2RyQpHiY4D94r9XJCGoNLSEQomR+t
pH8AulxhJHgL3OcIOEgDJCSRtBCdnyCg23TB6OJMTuRalWQRXzJGSkkb6SV3ZOjjTShJJJFkkkzA
SSKezpG0EtPEyQ6+hB58gr4foomQbBO+UCgn+ngtm7BaVuLykCQU+PJbcLgct6lMd8yRPF9Bzg8J
jEYaXgj7Ca9hRGoGtBaJWQnEuFbC6kaHv8L0s/ZQ2XXA0zgwuVBaEj0EsdYYG4S3OCeqiqkBpkBd
L286GC9Cwl4Uo9p00F/MpLzk7JbuSrgwQTteq1OxIrRjovy1DwUEGUUDJRPOU7ceoMskLlRj8ryv
OB/EhNLiqvxaRvxTTxlUFr+sp/51/Azs6q9zUPnAP6oplLcO5F+wPXRSvxIq3lVTtEExJNku9LIf
jFH2b5ifdCanUmAjwUp/NmXt35CUIbihLv+vqMNcHYu4qTNWtUlr+bH+brqhqzJrGk5qca4DsZpi
++9V+KjDaOqSjmPyDnXXFB9astZgE3ttd92pETEH5XtFPbnQ5sVW8ynxMQev3n0JPzl/6dKF9v5M
8ZcrfqgPdYy1Eae+DqRzh0r2K/Zm+orAKSQNZ6gLZ9+3ZnlpSVZOY62teKpWSGF9c9VmLT0FydZh
SdR3llx2J7kAaw2QKMMJL0zWZuZ7iVeyWvdK8uayepNBcS7kcm4XpKai+mSJl4u9IZf9Wm4AmdwK
BHtCIzcH07QN0BNRsfGnMWdwwyZiy+0EBwIscx2V6EASGDuO0/cHV25BdtRfKOxJVGDsY74jLZrt
Ukys/9Zw5ZO8Q5fF2BaFdu7Z4XTH2uUqBnCCsQ8Fe2BnKHe13BT7/KlnjxzZK3u5aWoEWhEFvhGl
sw/lthpaxQBCn63WD6dj0dnzjd3iXMOshlXrhhx0a2sh8YoZb24r0mjaq/mr5qvL6rE4pUiZWtrz
l3k2YzVrOPTTQ6+wdzoXFl4RwjQu8GvvxgTfiOuTj5FcTrP1iXRXS85WIZMY7KF69CxM9SVVCnM1
mOI4lmLvE0/XJ+VF6w8rMoF2ZPOd1bnycp++xThdEOJ7wYIMlmnOVC8wh0PTq58qsriFwJOf5fMd
cY/Bws+m5DLq8nOetBvSDy6TOdmrRWIvxtIitaSt6YmM1OuQW9SFAEXbxPZd1YLsiBU1WOtZCXuz
G1qKFr25cqJqukgJZVs3jn5Isxfk6CcROtdNxwBdw8FD1Ea91kgl8NPo3OXKzdDn6xCz7YKMtpUT
udho2xc7xBmiWfGVTnKC22Ud1YVG4okUkk1XbVdwPGb3tQaxGep+rWLnaGlxZJq6LIrihoL+nPkV
uYwjtu42TfrrcQqvLV/b1XA/AT49iCRnQmnWpCwoSJai+i0HXQDqbwP0FD8OQgTY37Sc+1d1CA45
eSSVYJbHCkaGDUcFw4gYnAxMhoMz55ujMONtZWabUTVXqc3YefQPTVPQK0IPMbcyXuSSjslSx07M
QnE1YeaHVoBe2RD+unKNe1ETXs4vxKsSOAe5mU7bhFDOXZ1SgEQB6JRJ2SfNfItNj3zotL2M6uIm
7tVlHNMh6AgzZhPWP7td/Dm2nWNRpfGCGILEG5p6WvjNQP6v3zvbfzY9lmpTFXR6frHphZ+b9mf9
Ax71x46nQQuEGIOEyyRgVEKC/9jxjN9UGMHMALkQ2w6bwXeDivYbQeac5yVNkK1P5Qn/NKgACDAs
15GRszz8bwGEzb8KI9H88CwADU28bAxLf9zzdHnxMq3SswpmDrlAhyBSDPfMxYJNWymnMmQNpno7
JikD+3pyttUUlNiF0Rz0o/PKQYCepnvLj4nMCA1R52S4JfIJQHuOsXXSbm21/iojBHTgpJYRGYKQ
jmxMQ3tsTFQbETeyQRO4GSls7fhIMMSrHYerwTVWrQJtc9JKKHXiGTMPjXWXYLWmSDwlyrptXNbb
2nUPDSOWQjfXM6kghD1DFTV7AjSKO5tNddDDjimWiNDF6p9TNNnMZB9C0i7Wtu93XknK+aaGdeph
gSQW3Wr25sjI0SGNttUZ5xjxKgnjGyDEJUHdHIT7EmkOpJJF45TrwZLEU17cwbB13ZudAY5ajokH
HN3JNdIXPWIAN+kICKOAE4wy+bckrkJl68almpOUmDfxMRFQqiL8bCvy41IvLG1kuGMxAapzVoky
7UOzZWg3pHecKRVMZzlVd3EV1gzdcsfda71C6ozZHt1cv604QNIJumInVVadnKXQvtyos/OGKYjZ
np5fjSHtIeG4j3GsXZOzC0bOL2xqdSMjHc64nbPoMSEKaEg5SoFhoMsekaoFZCKu1DcZ37aF6QqI
IeqmVdhYGKh9gzi98FMY8/qDCYbWDJXOs4jn6CymK2VuCJAb3WsRJzulSZdDUC9E1IB4ajXaLhHX
UVFHT8jPAFCGDyTRX4+1GL3CweozG6R1BHayqHKQu+0ETHmIeVxqtC5HkURssqI7FYXDOMPne2/o
gGhjtVCz8lHroos2ji7qiMgVJdCYUVqc14Sec+BoCNnLCL5dxG258Y3iEgcl8UWmvUuVBuF6E12q
cfFYxVW0rlLGj+SlLUeRs/PwQoce8ZeW9ttKU8+63nilOUjjI6bNoNs1eXnXKf2maHKQDcUavg4M
2yxqvKDp3ZWQUh0rDemsqf0DExK8OTqpsuNmiEpihfMKKZxVnIhdZdJhnwuKHC9x+xsnSdctsVXz
ZdsffSVaT6q7C8b8pJn5We/9LWOkk4J2a9lP8Fkk6bMjeIE9c6a/Q5/QAkfJDRr5Htoznx6ZxUfO
k+aZWXqOpWc0p9juMrV/C5MxWY6ZYa90uecYSfNljBkYFM6bHY/drsD4Q/PHdTdabu5CjdnLDHeE
8xoFyQIN3bhheAhddDR8r7DDYe0qDiUNo8pgDOF6YyFaZ7146UzmU12YvBRG/wA74BknV7xCWENW
hDGcp47+GGZOAmlbq12xHPWGx/iK9Bk8Xe2BtQeSjYNALhqrSl/kWbszc7bptcEM0bzr1cRxNqGo
GdoSj8xvqcq1Bcmp9UxKfTBqKydXBIK2HhPyVsB4IyjOMOfokiS0qbtx1Uxrbwa3VoxDN3bFYTDh
8TzUs9D7U9KW2yLg0F3G1EeFSMQ6iogPqtT5s1YH1w1QJK9Nxr0QebeulXrcOIp1MO0RQhLalUWX
Ws9VUTSUWxbUkFg8JIrleGHPKF3Dc7U3Cm7mJHfwL+BcpE1TPJW++AymSF+2DjJ8YyZy1g1pOAAt
oks0MApWYe3VbT16UzIeJxJjx8iN1/TcjiKvrxS/O2RO8UTbB+SLQaVEDHFDt5aOkEkuojHumf+Z
6sB00C4/RyRGWRJk1eomYD/MPwugDTeqHl/6DXFN8fSYhvrbrKk8S2C+JX12DxRgqcx7fRrjpTCZ
yQf1dSI702qoMhMmzuuQhvZRTVJ16Y7F5yGYdyEAFTD0I2orECcLbsZLy07mJQ36YKUqyhX9en05
ELtImdsdZ3XiTDD6Hp9CubVzWm0NI/uNIXrWdnDTthvZYNaZ0zGIum2T5WwGn/Qay7UjYn8ZKiBw
ncQduDh+TBcYvTG7mjePkgo/EOY9OBTy2VgOhPQOF6XT6gskDgFuS/sUDfmRBgcsutI/ucggmqwB
pdl+ttxhWqFqvJmQmwD8BKbru2wgMHbu/K5rlt2Qf6L5vo8VIqPtbn7oKjck+swS3AMztHVVV7y6
aF8b171jgV6rJaaSLJQJ7sbWiIs75qMbJbJHrw/UXTUY594pr12z+BKx0S1w0F8KFZWBye+up729
8Wet9ky1Jm6yZ0toh2ABvCxGY5HsXHOS0pXcI5q82jRmNHiRaE5J1J2pRNa53t73mbbFhQgJtdO5
ATsxrhIVSqOqORWNUBKtlIC/telpLa2k35DDpW0sznw7TJmuh3f/pJZNzPys3RMpDjHYolXWjHcp
bCekLmyCLFlrJZqDjTJoBIa5lofvj4kCvzRskvrZ0khpUxrM+m2uZrtZJ8Kgx8+KIqHyiaY0dkJE
57CLOViTTK/knFpY5FjgzGE7Zzo/CdM563jQiYMysqVVjM94cD6Rs3Nqcvt5FsbzaKlr3IMPRRI8
FEFpLVsj2vlZ+aAWztYQ2GE51hgxcdr6lKA+DQ96PXwOcPt3NtbEBHxAF13hkCR4oVVvciEXccUk
9ZGQ03/K7m9lN12MX5Td0Wv907Edj/qj7FYR3MPggfgHD/UjIZBvWUdur+HO/jrR+z62c38DvUOs
OJq5r55xnvD72M79jSehOWTTjGBAy5ztb4zt9K82wD9HvbIBZOs2TSBGh6qu40X8seyejTAL9SLC
9e2oNGazGQme9lQELzD9ZwI9kEDnF4QpkstJ4sHFUPLfa90+WcD/O0id6F+uU0IBqMRQU5ES0CTh
Q16bm4o2sJE7x1LmCTT2I6J/6DgEDcwEDrQmUhyaqT1rSHdXjvktxjQAf66aelXFNI00tUefCAOL
KANzilcZ0QYzMbcaUQe6UBAAEn4QmnSCZRpCMkfbhpbZIiYoQQvs7SCTE0TSyn7KI9Cyu9kpLtwY
ciCr+CIhdEFh1avq7j6BwLcQxDLUrrKeiWmIXGpM3tmmdIn3oLRiPtNahCiz49nEPLQRgweFRSrI
xcYmCKJueoe61rmvBg4mEsa2mztyI8gcPcRqilJjULZErULVjmofLA8iMzHudE3GT1jXQ9ldT21W
36UEVKQyqcKqnH1AdIWamQes9wAy1PFIGqIJVdVWViaBF22vxFBHu4MgCgNuBpIkwjEm7QV921NA
ZMbEwBP+Ks5wzgFPiczVSBl8EQ33ath0K9AX3H1FIA0qaRwKp/5W5nNMA0kd6jhtY6I7HGdYlaiV
yQOm8pHpHsO3pA9Se4n9aMcWrq5vx8WmNelQofNCnD6LUm13hcMAtbVdJql6izypKtSaui0SQIKa
hkr5c9pXAwM/U29Zo1USNEeGIWQ860W9BBBOQ5+JANumC+itgqFdGM95WFcLxrD60hAYFRCk8G8D
eq25ebb8jpFEUr3hjbQo3Rmt0eha2NrUE6WXXNtzOR2wnlwqoe54LYnSJHdTayrhQzqKx9wZSY4Z
+5uyS0KcpaRfisp8icvmjZLhdW7pWfR2eh9YglsBAJ/aEz2foJetcyVaxUNrrKCKnEdCL5aGm2xF
WD86idmu4fylhGQ5j1PLBAOuLlote3ihJSVBnKTJTxnnhjxqHE+N3eCYBsplAO4AdXywJ8TvRYzQ
tzPuF+aXUO0PVp5v4qK86g3OptTEd6WIyoVVBFJwuACowmxDtT75Evti8l8cbfgUzNVV5KfeJJTm
Ymgec9NsMI4oxQGq1hwteapxQRDIUqFvCGabklwJG9jEI0C6waK/FlbXnbRiJGF4mPFmzHg0Rrwa
FqR6wkh6DrPVlNTP/+wrX/cV85f7yj2gke5nG4t82PeNBcY2ACRWbFhgCE2lqPp7PwfFOa0/JhEm
3Ldvw43vG4v4DYynTqtHuP+XvfPqbSNL0/Bfacx9CZXDxSywTIqkktWyfFOggivnXL9+n6NgK9Du
7qWA5QLDuRi0ZZfIw3POl97AVfdoJ/ESWLQ9GFyqCQFLDDLEj/5BYHmLtyKs4ElogCcnvCkGukvv
uv29jGZXWabNaiQ34Z4Vlz3le/IXpEVmLG/GCo+/CDMLHclwk/glv+fTKrhAFCZmLiu5MZyryMce
CjuheBgPbCIy1gp12uiHAOzGS0aIdAdMRC5D2/Ju8iyEBk0j51ixhK6FVRr9mT9oF9qQtWSOg2dV
2KGGlfat7QvTRva+aFuE7DN91qJsODFRmYXzGTMsCfI8U+dZF+N2DcwT8bigctOvQTQ4c8MeS3lW
pXdGrHcrS8/jU70hh54qeRQPi8zttWlMfJViQOkMFLpMO5VbxYhO2jg8LWtQoZi99VPfOdMU+cGo
8vu08BZIaHyxQOyleNMbkpntq3QYsMII5g63uZNQ5yaH7jAUMy1KsJMvlVk8FN99279gLrBS1Px7
o7WXseLBoQZOcmNFjIUd8BlLycpLUAiGeRQHDgE8QeFuhApEIq1918MK/wHXl1dpjSA60Gsod7Fk
IF0iSNzOqkoBb4yq3c68YFT369S6GhTpa6z6xSwLfQaode2pxFjGMGwLF9ETUo85bUgewYRYgbx0
Veq11s9MO/UvKq+leWQpJbFeRi8pDgZWETTipIqacqZLJR0KnC8KRJuOfAlD7lc53abRFYfs1eTq
cYuJzig0CViJGtv6bYpUDCWkP8ZXK5Ra1zRKlEtGLxMaVdP6ID0g6SdYzZG/mZfzdGIc6QttDoZh
+pcEXTGT+5mqoeGoWRaNUfSmGabpiIu9fR8IwXeNhzXVylW9I1Tf+2nkFe4k73TqQCty5gUGYYxo
TCAViPAuPat0jxS+I1zqaaZZw8pB1Qt21PgNB2VnUakAkuo6X7j2+A1zIljxLnHVHfvrIqZ9oZbF
MLUqwDl951LH+RT3ht/P6avudwoVGuLxhY54xWg4B6NG8QNvSkeWYFKgTYqqHry2JD1AI3eWUa/A
BcvnXeedqJhn0EFgXo91NWz7EMxUW6y63tH2Cy8EFaR5Vx40TyqjZdPbMhj/fF+O2GiWU9CakcPL
33/Fby8RVtYBUIdUBvcl/FbNEbfZK+imMyK7kyduuZJbdA24CACwlciPSYE/xwBNR8jMo/3+o1LY
tKvonL/9Nt/9znffptS3VtlGXrUqPA3ZeDoNjZfNxso60JOGeYlL98MENmaRBhlxBR5JTwecihtg
t5JxkgX2VzlAaQiM0HeXNg/6CEs1M89ld7wzvOJb0gXFrEAV8z8qYMpTTGbi8OMb/GDR+KUBovlA
+H2nAWYIkjbTl3//i5sF9RiEC8n/uCQY/3JRvAnJGvwvDClMxFV/jlg0cw8lGKjVsjjVT9OXl5Bs
7HHeYRTAxtY1CqR/FJK5Nd9sOUPmF6MxJvMeUBqDWfZum8OekouU7vRqjIE29iDxkTPiKEaoL8kt
TJ8yFk1rhJAzdxmUaLwbSldNy7Q9S6rs0MLsCQkZoMBOW8ywsTumwbEcLKDqGbNxCMP3LY2+qZS1
FhNZJnxupy6zUTAFZNObJpVwiZLB55vfcJn46hRYVdi+o2MlK9PwksYFDuISrCGf7B6dQ8vDQhyj
hj8NO/2WD9lV68NAyuoqR4vcxK2wPkyxmaod6dpN4S4BumYSumwj/4Ra5FuVkW/gFHlG9/QuRn90
nvDBGFYixEfxcNQo2U0yyAOypRpDolpkKnEHBL67GtS8nHt1t9B1xqVqiK+k3gUxhZ99X/gILtux
eVLV8ZcuHaOpjfa3EdkX+C3eA947oxhCB4XxFMpfYT13O4TA8vYrhOo7t85u3AIlhyy9Qx+IIWlU
evMmxWqkspIzL3cOAr+a6KH3LVYhmeSxnc86M4qpFbO7TnHoTaF5nQzMwnNVG2cDQtOLoGjLKajh
k7qKsEh0T1IPZbUgLxcDoAG57I48xzkQ3BMkrr8HeviA5scXDbqWq41fE29MZrJQK+NLcmQ45V2H
FYAqhwXA3cI8N9tq6Tv99xin4RmkEcCXrjxtyrCaJLJ6rXvGhV5jC2AH0RfdU783qtkeDnic0NZr
mgV846+JBPcq8ylUDHPR1DBp3KYO9yk1bsBmRAskZzAiEmbomITBbq2NiaxTiozRQrZyaiZb3i9q
P8MVD2ZNk/OtgSbrpiqE8kZnZFNAcDKxJNh3q/w4cJPiaEwib1aGLmZg3XhhxcZ+lxqLptCLqT66
1O9RAAev7pFAG6twFjfsOAM1sqk9somHiu8wUXNv3pXjJaxAfmtqw4hpF67cXI62dhR0TNEsNabP
W7jezIvBu8Gpuquz/quNtwSCjvmtrGQloGR3Wnbwejs5AKRRIlwu+Qcyvp0zyWL4L8vZvjnImBei
iQKz0Dmo/W5AUt1+SMLihLYvZo1VmEPqrw9NbxhmagNn30uwJS0MABhEfHZjMjG1+rZqHMjopYIP
5QigMulN9VhPo3TW057yDmPV8bVZFHXXqo1B/byUKj/4k2Vw61O1tsA4mIGhLUz8E9MvFpoX2Qze
zqghmR9X/hThY+sMYc3APBsKyCVa0Xs3QZPPq5gtNBFqlqu8qhhimbgFUt/KhofAoONd+oUseHZG
fw7x8QisaqDNe6vVjAnu1eOst3EAOGww7AFvEsAImUKcjZNZNWB62sUAXs2+QLJUU79GHXbqS8j3
DfdM7OOAZlp3socg/zQyh5K6HxMwBw3TSDeKeRColvdFrq24ulHd1qPTrsGsh42SmO43aH2+vpRR
6pcmeEg2+X9ao0/hUkDGfh0uL+s1PYsYndePIVP8y5eQiYGK0GAzdeOHsshLyITwoPMjVQdlIER7
CbQvVay9J1uYmCLoyySbG4MfvYRMcHgaQALB9sHWUgXm8A+qWDSC34VMwWqAWkGtiIo6imoiJ3+V
GcLH0qKyj7PThkHyuERB3AhXxNhQndd1Ep8h/9rWU0ivKyMvzoC53+kIV85LNfnSKkD9sT45KdTy
BhzSUVylFwGlWC2psFFDd4l31jLvwRCkVrfvaS3XVRWd+HJ3PYbpgxNU/SRr1apjV2fnhjculAQc
m48oVgMxb6bqwHDiOlwiTDnpAXDMSq1NlVsUuiaYVnjxovNaWzmULa0MjqB11t5+pEhQTOXWMcm8
cy2E6imBu5iYbX5oBVayX1jOkRnbo/5Fc2uwvm7ShVgsOchhnpRhUN2EncvIv9USddE2bThO6yY8
tqrUxGDGMSpmU6UhzZzKLnHpS60WAlGJzvE8odXtAZLvbxtUkyddnF5buYF1AzqfdotLTB6Y69xF
J9nqClQL7LhjYJotAxdyggplEAGTYF6M5MU+iIzMba9U2f1TKsfD2pIuWkZfadsd4o43ayVoUZ2B
kpFJgpGb0zJWwRYE65yOF3pXEsG+WTZWinCnlB/YvsWE1VEu2kY6xHJpDnBtZQteqlaiCN4dYFRx
BLrigATqxHPSVaL2qyYrb+WhunD8+EANzSum4fBALcpB79TEM2VCCXUZ57Qg02AW5/J+Z1QXZc0k
r6fvaerXieBgO/basaujOOy4LBNNRaHqe4pthx6bK61r5gy3QQCOUwVSghtUZ9i83pQVXNDGnuWS
gqGLvxqz5NSGu4H74yoFwVn16vXYZctWDSc6fh18l0yDmXb7/irE5LbSnONRIxLW9VFohPtg676p
Rrigzb3MiR9eZof0boOJZ4GmKbHBSpR92+xPlJYqhBb9quH2HIpwVZo40eAxWI/SleFrh+QHfMNN
NoNKf1gp9sQO7InjFg+OXjH5i6+B01xlso9zhrRwc+MEcYSF2iTgGlqgAINy0unQknkTUydVICUq
J247HgEampZ+feJZCkO5/rjr/cOswtMCcvVDaakXrdNflPjwTlyvNc4B0u0HZuevTFdHsVlNTssY
+7YkipG2C9QMYXcIuWQFfXEqw6noFLZU4+iHMaXUtBDEixwGxgATg740XoXaiQVDoxdUjZ7GcAt9
fqbB4qjDge0HrSPPsdcWRA9Jc7+Balh2ggJiJ80XBKnnmqRZk0jQRFRBGFEeqSOCRCL5DMTzVkrn
qq8sXV2/0AXlBCQmGBBBQ0F49CyEl1LpODAJogoSPhKAdCtcFL2yrGGzwPmYGrBbZHAmc3YH35aq
4kfUwIEBJzpNYcWQJpZTf6jAQOL94UYnGvwZBfhQYharXBBruiK5Q76AL2OUAAXSvyFtYrHg4xix
fZgJgg5qCABhBWmHBkENOKSZZoLQQ9YGthaOTxJA2I5g/dDD/1oLGtAgCEFSMq5Qqln2MIVMQRmS
bLojOTT8PvChW8ArMuEXofJwJJEq2FITL2JkgADidEsqGRrvgp4EBx/5QkFZUgV5CVxKsQib4SQT
xCZTC04jmE6t2ZhT5LK/eKbBfse1LRUu3DBtXUGT8gVhSoM55QgKlSPIVLqgVY2CYAWJO/pP7H+O
/YTJ38R+bo6HckPc51/9iPsEd4pQQcd9jO2Uoq/ivgOqxaHchWiMhuvPuM/sU2HiiegJZbEpK/RM
XuK+vWehe4PsJYKuIqP4R+aRH0tldMh0VUUPRQfSDwngXancqgANCskZTola1UKW4nRewfeIMMiy
3YKxXNgbIHQMSQLGiv5Qh8IY87p9tI6A2ArxscCXjZNeCJLhOwLBD3ksSnN5Gg9atVAVGqUAurOD
vi3yc1Wn0WPqtXSMdZGxX6F95gixHgnVnhReEL238TwJIJ27QtpHyrkuNdR+RiH7kwoBIC9HCijI
OiakNi48DUa00zRRzxFPiw/bBKBxAo5eLpEVkoTAEFiM6lBBRpsLWggQBSgR0TN46FAmypj55UKq
qJRN6TAU8kWeE8d4hCBpJDcU76p64QixIxfVI9KmDgRbM6sEF8dFGYkm/aQQUkm9157LaCclyKQx
fD2msv0Gwnk/FCJLwdip0xTdJd0QwuMoMY25fT8KaaZBiDTZans8CNkmMPTFVGpqjJJwhXPQdoqE
yJOB2pOL6pMlFUv4pF/DgIhgCWGoQEhEdcZwOwbqipkr/wEeJfC9mBGbVthnlWYzhJWadCCn4PdB
jm8ZUsASpclc5rTSrX4Bk52Wen3cKM5CKceH0UY/3LDa47RnrIAgjQ1tn0sybWhH4DGWTGmY5Nic
cBt3qn6dY/nVSIwDCz2ft71qUMk8uJY5hz5UT1XXE04I3xuLpp8VoYNS6yP+2XIdQwBDH7UcTOrH
Qj6AjQm6clzbRYW2LUDUKaospDQ6AxUweYctiJgwzM4bOZEZ3eVYscUQwgoEfxOufS3dbxQTRxzv
GlUaZ1In1bFX1jFJEpAZG3wMumIQLoLIg8M6jPKBFafBPEsqNFs9t0YYzvkTF5UznEeLaVEhXtfZ
jGiLqkcELVjLwwjNv83WVg9aCq1hRg2SOx7Q6GBeXEfRPPd0ck21QYhGGXMQi6jBerV3ablU+ly9
6oGaJMvaha3VpCKI96OEm7QFxE/Xj2OpOzcV/ya1NHeS9ok9R+7hJDHVA9O2uds957RPq2oWSypA
VZ9sF4+uiZnjJGF0rk992J9mvXRYZjWk9S66a8LmOky023zozkId6CsDkAcuqVWpejg5dPYKvzd5
jkYulI8qbU+coTrTcu0+FHPWKvcPNNTauxABQjW9DNI4nCbGeBMXtTypiGAL2wjDRe4x86pd86bK
CogDPmp1YfQQjgxsBtXdHxtkxMHXm5NKF4JdXnCZ+R4MXS+I51IeXadddo15EUICrb4u5fBbajYI
ztRMPfLMzQUhb9lk9p9hKR0rXnuEboPM4N6Ym35+5GZGCMaywYlcUfDjkG7qYkD2PjtBEY9OklV1
EyxZv9YjqULkac5Bm1vOrEpQRO6wcJ/QxNJP1ShDjaIAeHj/GA3+w0wTk6Ffh0UI1zR9ho9xUfyz
H3FRFTYSsgJ0UkCCXk91VW3PfB0vn4thHVy/IPZbDG/pPCMw9jMoOnv8OSrgRFMKWRm56H9QDDNX
fl8MM7tx6BurDv/HWxGDstfFMDZSZlFUyVmq5Lq+rNQGfNDQBAQ++CCd6oCkbAHDxFZ+BxX725iN
/n4vpZc6DaOJZt0OLc4xeeMdlEyeijxIkV4xYhp41kquFW75sIknWd7rE/o37czwBpR9chPGTe6t
JMmNpm3r1wyestNqqO8lM8onhtPd6xR2cz9DpMdJubbs4LjXqZI1J1xKlOWlnBmzjK7Pyq9R06nx
GwfOXt4j1oiAZVPetlhA0C4c9jFMu5V6ZeF3tTKxeu/AsuoVLV4QrxFYCqPobjpbuorrIZ6GkXKp
GfVXD+DXvmPD8VY0zTz18BKZg0+nVDKicq4M3hqMRbYP2Imr1inP6UedZgKMBzjyEkZWMcEP+rxX
5aNENh70OtnXwPFVenCsC2BfSYrRg/Sj9cffdg4SufzagATMenDRqcAGghF0wlutgxIMbBCU5l2p
VqflGFwbwAojHc0qxItBGhrmmcSbBcbYHSR+INGkQ415lBpvAY//sgq0FTJSq/ERwyjTah8ErtEo
7OQwVBg1GQL1CGDoTDI6HNsrFwltyccPoVeOQx+eRihwk4WHJWLRyHMbSKVZYeXRIdntALa0M0DE
spOc5oOOxHVUoHudp+o+CFBaAKA1y6BBLAFr5f3I8stZKFCdZuv2c0MgPSEPguoc1AOEwP50AYPG
gEJNuYElmXZTKGrFfgkcvldV0dyNDlUDPYheoEv1buQmBXCaSMTuUpXcfRJTd9phtSoDT/UFTrWv
y9tQKi/M1jjrALJ6IYhWUw0RCkJDvNYPHAUNnmg0r2o623Li/VkBigWVIIE/o6NjCMRsK7CzNiDa
NMSQ01O5jK38WhI427jqriSBvOWfMlAXaFxNwHIlFX9V1UR4QkEytIJzFWT5Uh+c00hnhFAPPeNd
8L4NPZ15LyDAVocXnBSWNsagAb6sIIW7GpXOSCv7de3m4UyucljfAlqsReF1E82sOLjSaiENJ0DI
nLUZ/hb0HGqr3k+rmrl1hyNIr6juVMPgdMg7kNmITiVhoM1GsM5o8/nzIS3oPYCDDlJSWtB+Jnbe
AiQNWtoFNR312Hyw1y517Ugavkcyox8JpHVmVXNNQK9932LQn/1JFv9dFvjs3NK/l6N84wDcRtNm
lQ8DmgIguqGo+XNzAJc0JMWF31TrWB8Z5wyH2NWhguRg6KkIhHgPZ9+Gj17aw3e1Kr95UnPcZfV5
nEvLumW0EKT1DIHYpeag3qAIJLohMOmhkHxtBE69rOvvuZQkoBM7dRb31jooym8M7QjoGSwhVSDe
sRQ0j+pGANMNyUaYBCkSxSnoWpTVpAU0X0OkAl2iBjMu5ONKIOu9iumHP7ZHtUDdq8DvTb9fhwKP
nwtkfl1UMekRlWmlFwdmAq3PD2io+f1lbRTNtBf2NL3fzYpIuKKmRsmhyzgStrmMywBOQu+uslhD
5aBx+6kleZeuq59muXPpuPqB1g/21IT3MGmG+MLN85WHl8LCq+34a9lVAeM5yKu0WGHbiINthNf4
QdakHF204FpFUVj1b/sUBxtGLIu2S4+40C8GPYNlgjrJjABwnuutOgkMY9ZCItv3ZWDqbaXpE8PE
5cVOjxDB06dREZ9UfnseMMPGNZF5YEAGb2UlHSwv5t+27aVhhvbBmDa3aIIwDMxLd0IR5k/NsGBs
MErfHR0uE7ZYwT6uOufpkN2aGme7iC2b/NuWpnBIPaD1Y4oCk6NPyqz4yrRC4PGB3CdDD3IPY4GJ
j0rlLOPONvJUXoSBXC8Yctw2TnCd5Wwk+puLofbAefCVkwqRRXcacmB1D8cUzybWtA3MQ/hXJPs6
tgM+ei9aBmag0dsrf4jOO2LitA7tjIUBZ25Yhofj7MB2A6Yxa0KBPRdeSbk0drMIzxqcCzJKO6vD
Ea6DFxWZVxiq7ZfpcG9kxhkG1w896gokiyGacDUNGyx9kENIT4BFFbh7j4jsYs1kWekBaLHDOs7L
qT6oDeJccvYV7mV8WI3FlaZy8ONUu5YG/bQO6vuuiBeOG14R7OXjwIRmRPw/rBCYorH9BVfZA00i
WcSYtheNPTwtsYtyDcZeCHbSnMZFqoNUOlMt6y7oM2mWoLM5LYT9zZDZFwpzuLlh+DoM6j6d5zmm
mW3cuIdyOaxNic1Q+626iCL7S59CqbJd6SjwvHUJ391DTxHGaL6fFRn/3srPsghmKRZC3hwpzbsc
XAk9zOBGlwPGQIV5Rmn6Z6ab2CDF/cHoad9DubO4Y/HdVdXSn9t96i9Miy5VbVLJy9nA9gspFJRg
cBggKjcm2sWo9wRzEFLUAhK3NoAwb4a8XQdBKVzLqbqMIApO68ANEY9h1Cgsg/S63B9GvUHmUWTe
cnQQIgExDWx002SB+yxUNLEzYTYEn/Le9yToPbZXLpDOkadZ0razTB6QxIFmMkjmdWJjzOR5+Hcm
hfTFL7sryIXZJA2cKRgzALkK2hUN5Y9HecEcwL+sTatAdbA+bLymmiaycwW/58yLMRxHLoVWXy41
9DY5T1pbL3pPimdo2BxKZE7CxlSedmp1m3sJCFbiOatFCIFDbMrdVNDBOiDDUm5+N2Xpi6TZBIEE
RRG0S79bQqlEjdW7diiPHSL5ZLCMu6q19rEtRe3YU47cVEuRXELmujejay9Bvrvo0Vq2adaFUsJM
9Va2vRMSA31i61I2UZrwKDfoPOdNGK7UAN9h9E7hukQ3noQSDCOJL0oJpSJvpAsrcUwsn7ND3emu
e3KuiemPyBLmWTovas2bIiQDyTwq+Dg6Yn92h3RqlunHdpGd2fYAmtsq6Ax03XdTtSAEdai0wI9c
yG3zNW85un6pnMdeKnqo2lIzg1oYVJcT9HUuoSEZ0LDRy8v8nnu6TJe9XqaL0tSPFLu+C5OhmjI+
uC56SsCkka/GODjqh/gLIPZk1qHomFnybSvIe3aXMmStrW6Wxc1JXpWLVO7tCUMG+rko/rFrwweH
3NhvTdTc+/RhTMqj0UnROGUIoqrgDcNwVuOGlbfAyCuyPCvi6vMLdqbvdBYaWwFvsrH25b78bvqk
dFbW40BLztci/RnE4VemIoeuy4w0StdA3m/DujnV9eIowR19xsB54bawpmKNOrawLnpfmfdGAne/
yC77yjkAsA2Fh7JRDs9qNE2GgAbuoIFUduN5ULYnaBEcNkE+jQ25VY+qUBmmhWep0XmcjubXIQtM
e1VIRssfGDVSiYMQbjFy6f+N2txzmbzRIeKH4pr46VlGZvIl+2Aj8bf+0kudt/lBzyimv2c5obyv
ah/f2KPpxW+fE6+JIM09phaaumcRFw0wTDRoeYGFizMc555+DHDK2DNANRqQvx9//vQbX63Ur9bi
9x/zoyfHx+f89iO8B3uJN/6mwP/nS2Hv0dlWgWBTl4sXo+s3S8FAHCyLo9LMft1V2fw9/p0P+Hf+
zj9bBNCTWy8CojNQd7DkfXp9XAREjZm4PxpZwZ/a1aXY/mjYewKuQF+BZsr7jWCBboCR5TxulF1d
AwGA3HI7mHsa1u+IHTx9UvF1v1kK+Awq/DlbMZ7O3//xxfC6g2eA5/xffH4+4M/b0dpTDZSoaKo9
ftGbPj4VL0QKukaPrx09Dcp7RNA/vx3NPS5HDdkrsLDi9X4ncDvKJqgAVmInF0EI9P4vtoMIAq/3
A0gjGymo5+uR+/bNcVCRewUWZQnYEyfv//g08CY+hEmAx1teCZCbHMivEGOftjxb680acCVAhrAY
zXJv7uYiMDLeehEgnTiOphEMxev9IrARALvZ1BdPJ28Hd8LTt/PTFO2fXwnc/SIdYis8XQnirLzO
HVkEGmroEAnq107uBMG53nInQOgzZY07QX9ahPcJNPciP8RDXLgf8trVZEGku9svBbARHeL6Lw6F
smcQThFw3NVFELyQLRdBg2giI//+VC59jJMwUSCLocFv7WacZJc+lTdb3AwMPi3ByFPFHSleH+Kk
ztWha8TJXQ2UyvYxwtnjIyKhQp3w+NpwPcIgUhCT2Nl68jPSRgt6FP2D5wSZTf8mRohsAZMrgwpi
R2OEcGre8k6whNQ/mTNCeY+v97kziwCmzoKRDQ1MvHZ0KeTtM2jCJbA9BQ3OdxtBZExQ9FA72dkr
YfsIibGDjHSwjNbD0+vdIqAcwDkxAZfsatoozCW2Ow26zImHyo+gwbtPr+p7CnYXSHM9h40dPQb6
1r1G1oDyCKwsEhG/ig0afFU4p7saG5StF0EzyIQe08XnXGnDtSiqLJDGT33N3SuilO3rBzpsdJxR
f6Jd9fh6dyiIDVCw0JVSdnYRnrboNvmiDOQcpXNsOJ9eG4ookx8L0tmO3gnPXa8tFkGDoi7kvgx8
vh9fG3oKENdZAtFt4A7ewePw9O1sswj6nmyoqGe+HIf3i0CExE6JxjyJtXjtbCW5far0mDVaWB08
3wws7pvUWTQb4WAgF7Sri/Bc52+zH5w9PiAFpPU8n3wfI4Dekk6ZoGt39WbQtj8U3AzcC7pgvDy+
PlyPGJA5hBDH2e0e03O1v81+oHsim6CvzecU8f39QLtNMJS4Hp76cbt6NJ5bolsshWiyIE9Jhvgy
q/14P5g06hEXeUrVdi9eqFvnkCyC7jzKpphPQfNDTUGmjUSUTha5o0FT277TBIgDKRoDIMe7LUCz
EUNNW0Gt9Gl5dnQN1O3zaPICRk4/7oUPLUfyaKIl9uzPTYwdPA1b59Eai4CyAuTNX6B5RMpAGi20
bXd1J2x/Gsw9VCsetRJ/GS0RpqD63tkp7XO9u0Vw0NjtYCJtTUhXideGlAFKClayzq42GIzP6DQB
W8OSF2Lyy/X3IYPWIDujHPG4SLuaLIh7fbumm6aB8wO1ZZu/mM0RKRBzkVFA29lF2L6isvHVfVyG
ZzjPpkMh5Nyg0b3sl52ss/Wtj4am71FMiF7CL46GaDs5NoeD8f3ja0fjhVBF3/JoMHyBpgnk8Xkp
PtTZ8h6dJ6T5njO13csctO0nEzYNaXA9SAI8fd0fFkEk2uJ/NGzFa1dvCcF83XI/MJsGr6HJv8L2
iEzS4ZIwheTUTt4Pwnx+y0VgUmUglQni72k/cPm+DZ3sB1mVmePsbP7wtEW3SKLEpIrmPJXV8x34
4VCo3AzCV9Tc1eMgvD633AkM5TgNlJDPMIb3QZPMQWUVCKy7ehq2z54MrgS4rYSBx8tP3H5vTwPU
AIZYIJt2dhG2Ly6x2H1UKqCIfnq9XwQEEjDENexnG+Ddi5PPd9UWV4KosA3yaFFePr4+7AQwj0j7
49a4q/fi87Rgm0WgCcsEBlzTr5qwyt6jLCMWxjt6JzzTFbZbBJQ2cGug/7h5Jwj9TNyqkePY0UXQ
t08bYQVYFNDofT1dCe8bkAICTNcN/sjOHoftxzP23rOk6TOY432EZBHoz5o6ILAd3QnG9l03aAEI
s4l06H1YYE5hMa8F2rOjn/6DXu4/h8JbgDQQazXMX2E9FaDwYnCN0M9u1gzCB2bLTJFZLbY3MCif
C+kPl4GCTBLRc4d7jttnSWJgrYB3ZdDw+OKOfZsqAoIH8WvTf/77O+FvpFI/uMdTP4jvH6nJeME+
coGfeKZ/+RdeGLsfH/CKRvTIqnvzNwVV+enZT2Qj8d//tb5PgnQWVHUZ3NXqI1Tl1U9foCuPv+n5
3z9/xI+//M0ve/lcL394gM/furzzh8cfDM9vdLVO4Db/d8z/3a/fk6BEA/TlzzbTrH8cg98/HRGs
h5cHHd7/+19PApwyDamfH/Xf/3q7Eq/O2G8fnqzvs/LlQa8ezhW69cMnQgT05Tmvns1O3frZ03W8
bvlKqpdnvXo++3375yOwUH34SplxEFk/4eFpXa7/mGYbHdtFYNv6V8we4j9WWblx/bl7tn7+PP5j
lpVsnpdnvVp/Ep2tn78oH6p008O567d++H78kKYvz3n1xj/juB40yW0W39cfHy8QzVu/9cMkfyiD
dfzyqJ/vXmg0bP94NJNeHvPq0Z9xYo8fyg1rLtASW7/r4yD1NlwEAjS79bNP1tGGO0yQSD7h0VX1
sGlNPuOAnmTVH/+deg/xw6aV+YwjulzfcwG/rMOr3fIZR3S5Ripzw7M/44iKZ+fZpttdUHC2/lqX
D+l9dhdsur0ETvETnl/ePdy/POjnugvQ2/YPz3jvL8959ezPOKbLbOOafMYp5dHojT8MG975Z5zU
1TrfsNEFZWLrBV89tOuPuSOG6p9xRE/LNVfAy7t89XV+xhE9i9d3mzTeRWt662U5i5tkU3InxrBb
P/wiIHWsgvsNKyOIuVs//3J9V1ISpPWGWCpGqJ/wC9I/Jg9ICW/6BZ9xVC/X4heU6bq833iRiXHP
p3yKWfDgbfoQn3FqxYdYcALugupu0+/4jOMrfsdRti6aTdFKILI/ZZVOmqD64/Q2qPJNn+MzDrP4
HMt1/bDp+Z9xnnl+vf5jsi5v15tyBgE0+YyV4ndMMWnccFmLacRn/YayGV8e9vNOFU3u7X+Bj4/k
pnf/KYeaHsbGpfmUwxxUEbLWzcsivFqYTznLWbzelD2I6df2q05ikmxa9U85v39lg/boJrpFg+jy
d14r2z78y4O/3rQ0AjS59br/Xg5/67f+O7vW7R9OgyjZ1JcTE7+tV+b39u/bvvmbLN5wz4vZzNZv
/Ka53XCQjL8+pZvasj+ohx+btS+Shpv+2dtetPgbd/HDuvyv/wEAAP//</cx:binary>
              </cx:geoCache>
            </cx:geography>
          </cx:layoutPr>
          <cx:valueColors>
            <cx:minColor>
              <a:srgbClr val="FFE89F"/>
            </cx:minColor>
            <cx:maxColor>
              <a:srgbClr val="FFC000"/>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noFill/>
            <a:ln>
              <a:noFill/>
            </a:ln>
          </cx:spPr>
        </cx:plotSurface>
        <cx:series layoutId="regionMap" uniqueId="{73A9D829-24DF-4094-B3B9-F84371631ED2}">
          <cx:tx>
            <cx:txData>
              <cx:f>_xlchart.v5.14</cx:f>
              <cx:v>Amount</cx:v>
            </cx:txData>
          </cx:tx>
          <cx:dataId val="0"/>
          <cx:layoutPr>
            <cx:geography cultureLanguage="en-US" cultureRegion="IN" attribution="Powered by Bing">
              <cx:geoCache provider="{E9337A44-BEBE-4D9F-B70C-5C5E7DAFC167}">
                <cx:binary>7H1rb9w4svZfCfL5lYcXiRQXOwsspb757thxLl+Ejt3RXZSou379qbadrFtuz8rAGC9O43QymNjq
kkp6xGLVU8XiP++6f9wlm7X+0KVJVv7jrvvzY1BV+T/++KO8CzbpujxKwzutSvWzOrpT6R/q58/w
bvPHvV63Yeb/QRA2/7gL1rradB//9U84m79Rp+puXYUqu6o3uv+0KeukKv/i2N5DH9b3aZi5YVnp
8K7Cf3501kn4U+ksXH/cPUbgmErqcv3BUXVW9R8/bLIqrPqbPt/8+XHnNOTjhz/GV3uh2YcElK/q
exCm4oggQSjDFnr4wAkSlflPhw1MyBFCNmXCtH5d9nydguR0jR70Wd/f601Zwo09/P+F/M5dwNF/
/9dncLd9Ftun7wMQf378nIXV5v7DdbWuNuXHD2GpHh6W7h21vdHP1w9P5o9d/P71z9Ev4FmNfvMM
4vGD/W+HdlH8Lwgv6/SHSu6rvx9jEx1xm2HTJGwMrnmEGabIJrZ4+OxC/BaV9oP84gwTYH4hc2BA
/ztd3yv998NM7SNqcoaIbY5hhheAEyIoEg9jHO/CPF2h/SCP5CdAPJI4MIBP1/HmHeAVR8ikmCOA
8TVLLbCFmc1hmD9OEI+Weqo++9HdkZ6A7c73DwzZfycw9d2/xzTMj2xkghlm9NEQ8/EQJkeEExje
MD8/x/YNGu2Hd3yCCQiPRQ4M5PN1/h4I20dEAIKY4MfhS/cgbAsTWfYI4qn67Md3R3oCuDvfPzBk
T8CfL9/BMrMjSmCCNU3rcfCKEbRYHDE4BtDDsH4+eicrtB/bXfEJ4O4KHBi6i2STZe+ArjiyCLKw
eOk9kyMsbMypNRqxkzXZD+uu+ARYdwUODNZ/J3mYvYc/ZR8xQS0IfM3HUWu/HLUcPpbFwZ9+Pmqn
a7Qf35H8BIBHEgeGMPAe62aj1+9hmm0YooxgMM+vOM3oiNlbAsQcOc1vUmo/zi9PMQHql0KHhrYC
1mbrYJXV+7hZCAOZQSnfP6qBz8LUtC2OYbw/H9XOG/V6BfN9Z5kC+z65A0N+lnxwlQby4x0mafuI
E8Es8hQ+ibELRoACEQID8OzBEIwokDepth/5l6eYAPtLoQPDXNZV9R6TNzhlGIw2em3yJvjIskyG
wefeHeaTFdqP8q74BIR3BQ4M3U8hzNtleP8eCNMjYSOL0sfxihDguJOYwPyIwqwOMRWM9eeG/E1K
7Uf55SkmIP1S6MDQPlPZ+5huAj62zZ5SEGJMfUH0TIhtC2A+d4Geqs9+jHekJ8C78/0DQ9bdJB/O
FWQ4//6Z2cRH3DKBHdl6ZdvPGF5iQgbSpMBsjqLoNym1H+OXp5gA9EuhA0P7ep19OFbrog7fgy7h
R8ICxIlJXuE5MRChwJUJ8ZhxHs3Pb1RuP+77TjIB+X1iB4b9HJLw72LF2RGnmFkWxo/DfOyAgxXn
tgV/8KiOYLpG+7EeyU+AeSRxYAiv0nyjw3Xy95tySiCGIrYFWcj9QxtbRxa8AhaGLPT2Mxrab9Fs
P9YvzjAB7RcyB4Y3GK0tkZKsH0iV+m8uDwInG4oKIOX8NHuPSVKIs2zbxqY1Lg96o1r78d53kgmQ
7xM7MNRXWf8evjiDNDSBdAd/4sRfWPEtnyoYA8x3ffGp+uzHeUd6AsA73z8wZK+3jMl7lAcJID4J
AS78aYbeM5QZsaBMTIyo8Oka7Ud3JD8B35HEgSF8stHv4XhbwIc8MGJPjMkLwgQKiCAIg5dgnIWe
qM9+dHfuZgK2O98/MGRP12W5eQdsoYLThDylLZ5iKvSieATSWHDYtNkI2+ka7Ud3JD8B35HEgSF8
ttbvFTVzE+Jm9JTAeGGcyZFFMcArRhPvZIX247srPgHeXYEDQ/dUlR/+nfmbZPMeuWjzCFmEUPtX
mdAYYwwlYubW3YYizz3h0xuV24/3vpNMQH2f2IFhf6bu1d3fHzQD/2kKJKD6iz0SIy9q8NERsGWQ
x8Jg1J/nMSYrtB/pXfEJGO8KHBq663uoMPn74aXsCOpLoAIMTPevQbuTpoLEM2JQcGDicfZiskav
4LsrPwXgXYmDQ1iHuXqXNVL8CPADhO0n92uPZy2YyW0CKaqHz2ggg88wVbPXsB6dYRLaI5n/BXj/
tYo7N71dTfXvX895z0K4t66D40dggxkT+HGJzMt0M9TwYk44hoG8B2Mo2/q9du/RiO/TaT+6z2V3
7vHxFv/6ofyvW+cG5NwHCRHnWt+H75KJgDVtsGAR2/Rpncw4VoLCAQJ19mJcN/B2xfbD+cp59iC7
8ytY5PmK5IG9AGebDDyt98EeOK4tc8n5U4ZibKkJhWQzZ5Ru09A7ztZblNqP+8v72sF3/5rWl0IH
hvY3lbwHUQ3F2xxIaigAG5UFQUICDnAM61p3EZ6qyH5wd6Qn4Lrz/QOD9Drc6HfxpaGojyEKq+DM
R196bLnBl4aDCEqF9pcOTNZrP8aj+5qA8kji0HCGmXqu19ldWN6pX4Npj1sDdTtv6znAoRQAIQ5J
pEdXapxlghptqB7Blk1HMdN2gvyt0ZRg7hWg955mCt57BQ8M9rONvoNGCs7f3moCcsmICfa70m/M
f8HwNm0sgP56HP8jAz5dr/2oj+QnwD2SODScYcnBRm/6d0CawewM8zNFT6tuXhhyfMQsZjI6Xs4M
RZaTdXoF5fEZpuA8ljkwpM83zfpdVq1DZS4j3KboifzagzPC0DnmRUp5ukb7UR7JT8B4JHFgCF/A
NO2/Q/UupVDyBatmbPbaIkloXGBBXxE2LvaartF+hEfyExAeSRwYwjebYJ2+A4ENqWUo12OQmXql
cBOcMVhog2EtzSP7OZqVp+u1H+eR/AScRxIHhvNlsr57l/If+wiWUGzH8hPBuc9W821pJ/ntlD8n
SKbrtR/nkfwEnEcSB4dzDa3n3sH3EkeCMg4rIZ/G84v1FugI6kQgIUlHhdiXyVSNXkN4R34SwjsS
B4bwt/rHO9hraNgHKQiosYb1UA8fiL53E46w8hFaQNngXf+K2R/bQE3VZz+6O9ITsN35/oEhCz0G
s7BM1vV7jF8OlVwIeoqw19p8YWjIuK0T4aNKoLdptR/lPeeYgPUeqUNDfH2nofVXVr0Pl21xaEVi
Qh+Kh88Li70tIdn+gerO7WfkgV2/SbdXcH95jim4v5Q6MNxvaui7mr5L+xlYJ2dDHhLKrR9AfZFw
BjYMqHCMbTKy42/RaT/aL84wAesXMgeGNFDLsIxGrvWP91lIY24p7W395ith1rZHmLAh0IJWuw+f
3cn7zertR37/aSbAv1/w8N4BKE2APsLvYeVhaY0FyyugVuwR3xdJD7DyiCDo0ztefgFJh+lavYr7
+BzTQB9LHRriwbp8jzZEwKpA2zBGbfqal07AukOdir3tKvc8zr6erNErSO/KT0F5V+LQEIbRc1qH
5YeLH2GZv8fAto4IoAg0N+Q0tx9wz3YDMlibAUtyoBXNnmzmG1V7BfNX7nEK+K+IHuBb4IYb/z3w
h1XRGFZuwMroEfBQaIbBBEAl2pPJH410ePSTdXod+N1TTIR8V+jAwL6BJTqwO8Lfz61tG+nD6jkA
+8lHexGpEeDWoFcobKewi/UbVNqP9PgEE3AeixwYyuCRfjiDvR7eY0g/FHxzWPb+NHD34AwtiaDU
0Bzh/Cal9iP98hQTsH4pdHhob/00XQ9//7DeruHgkOFCv5bojA35dg8U6ECFIM25O6zhsb9Bq1fx
Hp9jGuBjqUNDPCzjsFf134/3tiUVheoy8qvZ/otQjBwxIGAtWLgzwvsNOr2C9vgMU7AeyxwY0rcQ
/9TvUlAKrcWgXJSi15rBblvLCUh5MjTi0t+g0n6cxyeYAPNY5MBQvlbJ+l3We8CqWehaYW/LzfbH
X2C9TQElwy+Ilcka7cd4dEcTIB5JHBzCmXqPEhXY2MikgsHuGa+VEz6EYMyEVXojew0dK6dp9BrC
O/KTEN6RODCEb2poM/UeZWawgwZF2wKjV5IhD4Z622jKGs3I0zXaj/BIfgLCI4n/Hwi/vkPd763+
3HW1nj1sEvhsk7q/PvrwgGBvw5HoEzu5v+7/kblc3f/5ERZcUagCBQf591qA7Yl2uM3fnTV/jdJd
wQ1wsX9+hC0HKTR35gKocFggAG1NYFC3m6dDMKML6GFEwSBA8LUNvzLoWxr8+dHc7lOIwMo/rAtC
ULL28UOp6odDGLhWBOEcYeDWcRMajf6610uV9L7Kfj+Yp58/ZHV6qcKsKv/8CFUy+eO3ttrCLAIv
IVRfmNttA6gJQQMcv1t/2m4tA0/h/1VeHZXJkJHLTHVLFIen3I8d2vSzZ09mz2WAQ9y5ENwJVORB
JTz0BRBUEGhYv3shw0exZQdxe2lZLF5VPrLNmTXUx2mYhlIRP5ZGyw0XV+pC9PVpEeefOdG1k5dV
57RpVM1ijeOTRlvCpUogh/ZVKA0r96XX6q9tmedOagdaBjT3nKBMrnO4oEPy5FKhMJOYZ6G0C1K4
ttH4DuWpKdPBPinSzhER0k6Gy8EVFltSGmdzjzVzYlqVWw8Cu2XcyZybXwybnwmzFhJu82tgJspp
OuuaEvrJSLtzw7DOqxA1ErVhJKFD8EqL5rz1Un+WCvzZ8+1EIr9pXBKEgayb6soyhnlr1l+ErTfE
59/9tP+mh7SQcc0zN+nDS0t7J4yn4Ry29lgy4elFGWhASOvPivnL0DZ9JwmCEyTMH1kbxPMmRbnL
mj50EtXlrlH7Siamyua4Gr7jNG2cwYwuTFvP7T6xpJFTt2Dx95rjz7r0z1SX1lLh/hMv6gWwhEuf
+YasmjIFRWko/SoznYBY10afJ05aFbbDxXdRpTNEO7cugkKWtRlLeCFc2B6MA37RIub1T7svQ4mY
dWY0tbVCWZq5hWIO5v05aWun60tTtgEO5zFOLoskiOaUtoshNc983/Nlhc2FaODZBm0cSINZjZsX
4nvWWEvRx59UNvQuHcrbkOHB8UuhJa2S67KtV9iKG1dTdIdg8Ei/7W+TMLQWHR0uSJcxWQZRI/Wg
73FC7kmbECfu8FIlYgV9YbETt+0ija2rNLbdjit2yumQOSzJ7oYo/xrwMnBSpm5YE0euWfB42dZ0
wXnrEOrN7cwUegavWCA7sw1muAuKdRYpX88H26h6x2Kdlhh1cdjInmi/XJptkbmIt3Nst6HEhe6O
k8QqJemxgzy80ia9b5FYhRaeN4PSnezjvLmNLRrGcHcYDdIKLcutOxy6cURWNDeXuInPK+TPertY
eyz8hGNjA/2XYlmI8krB23jTk+am88vK6UTrqjbGKyO10lnWNqe2TpRrlCWcN86cpmzCVVL77TcW
8XLW+fmZHyLPKfNuaXuFDMzyNI9it6nKZdtWXwcvi2QnIqeJ0GWk1VnMYMjSLL5MiHWSGMZqSAJT
Bn4QzIauT+dRE96ztk9l1EZUdjX+FFRs0alqEw9+63S1ITOWf231LL3hq8DUJ3FlLHvG112Evg9W
Hzs86UvZJ98T87ppy2Vf18e58mViaBll2iFzhNxAmJUMBjprqblsCJ1rHCgZDnmzoDyq5gjH8Dwb
83tmYll1qnU9Q2tptvmixtlFr9pvWkWlDHvztqqQfZYbkVncqKhxfNvU3lKRFCf/zYyiF1YUpguT
QQcWaG4HSRiI9Z+b67Isqen1rL9se4dLc+Edd9fqbBVV0lhnX/JZvKKOJ72T3IlqN1rQ1V+bcZj/
ns0WWyMOlxew4hgKMsmWUti9vPZqqzFYPVw2fJ17K4EqKbrvhkrl268DS+YQBycK6scQMJbPb1NU
MGeFXTNc4vA06EqZJBvhr9q6/C/X2Z39Hu8HnifMgRjBOq1tDdrz6xSFmVs1DtAls040u8ipgvf3
y1/fi7kPs+c3M7pIHSBUknj70OblbeDEs2aJ7m3XzqU6S+Edk5/0TMt0Tpafz203kefNWTi/LWfe
7Co6buVSu/q0cuGLrprDf7Pbv9Zv2y/vBahQzSGgSg+qbC1rpF9SDwPOeoQvLemfe1dohs7wF/+Y
tI7h1G4vj7/hReecF/N2aVlOehJIepWDvq1MnAdVnhy8Jzfh0Tu5U3mvQz942mj694//ulEp/H3Y
tvg/v9zuU/2fnxYbta0BLcdf2l7n97fgMk/X3TpuOz+88CR/+U8jX/FxJ+xXDr7NkQRv53VH8nH/
2D1eJEj99iKh8Q7syUcsaN0CTYsxjMzfXiSUUBJIz28bulBM4B1/ciIh0oQWLghCkW0OB7YIAmSf
nEg4BFtNWFCaCS4Zgzoe/hYnkpLdd9xCsOMBtBqBRgXQUQQaY2+5iecDSeXWEFu9V16ghN7Eqrwm
pXWSmuVV3OWRbBszOPaRbFNsLqO+j9w0jr2517DWqbrak6jIC8n7tnZVb3xC5jA4Qc6xbM0KJugB
X1WoINIUcK6Mq2CWRDleCV8TmQfJteYwxQyZsiVW3ZlRICXTLMqddmgMx+gsz+UVj2ZJQwypq7Y4
B+/jBlb8WWe8GbLTiJBKKkYK6XulPyMJX5il8KXdqNZhQeDLQWc3QWZTNzHSXCJdrorcmnt25c/K
GBPJzXQzFMGtRokhYVpbKmpcG0OMpVeUZ8MwNHKw/B/QriWShVX3jlbtLNOrCJ9in943sF07dSrh
L5XyfLdtaiKLoY7gicSJmyVd7JKhzGd5H63bQeWyq/R9XbXHuMpbKRDckG68Vanty97gueyzmTGc
1hU+7kz7uxWxlUKRKUUPPpng1qn29WWYdp00m60R6vBFzHQifVTPsI0AEspLWfl+ueLaRLL00k/E
b80rYQR3HcmuysyuT7yEJk6IAzwnhSKy5A2eU6brWe6papbEOnK9uMVSI/uUhMGqr0NTWjpwIzv7
1MVlJNFQ41lBU+7YZd9LJtJuxhAvZn5RNdd+hWAqw+KLb6hIqjBfFCg6LmN+Y4phjQ0/W6R9LCtU
zaImEK4iQSxzqgOZm/myRQ1xWFUcwxbEJeBXLARNIyf2cIYuc7PKrsFXgQvrUuaxuhhMfReqVq1I
Y1zCC74WKlRSR352HMT4qy6aMx2I2jVsM3LDlm66tt40vO/nEJ3ksihtb8k760cKQ1QqUMWJQxbP
w7a+tohfnqQ2Om6i6Fs+iJOhAA/VUsFCtcZp0fe5LJGN5pXvYalir5W6LM+raIDh09wEvvejCLi9
zKjoZGSk195AwZkk9ZeC8lVcVP7SttQxpB4SqXqWzu0yWzHf+qwDFBw3FTi4cTRcwznb06KxGvDv
lJpVPoOAJxxC2egsnmOxBa+jvYOYx1zsmV9KFWmnGepalmWWHZek7pzO4FwGfVjIpEwqZ+hK9dVH
nr/MgkBfRswSsqWF22U9ntt1emuTIYKAIZh3TYRlSVQIAOXZzEuielaGcQijvSKrMlSBVBELXE3q
FRpstCrsYMWxlywY6CILRnsJZrGSdlpellE1SFVkS7MqlpHB3EgNlYyiKnLyxMAw0szKMRABx9gM
uCv80q1MnEkO/zBM6zLyhVRl8xl30Yml62NF+3Nh6uuGN7UcynQRGF4ss9QbZBbj86arP4fKymTS
B5epWV/Ffntrx91ZmQ5fS8/kMm4qMDgqumUNOTY7tOzL8qayGZJFnSGJlKJSJN1pXBYzjrSap70N
/rzuzjxNr+KsT2Zdi2ec5MekrjPZl/VP0/K+hz6+MFV0bjT5ZRHxwrGb8ofnWZ2s4+FrEpRUmoVt
z7Io/V6mnEiv9wJZkfxGBeZJZ+Rq1iTw1lQeREi3tI6sZWiyjC6AXSazQHXHwgqV+39T+CMXBFPe
X0zhD9t67pnCQerXFA6sH7RGpFA9tV1kDHP1syn8YXaHvQYgohQCXOznczjs/gd0okUtYAwZB17l
P3M4JbA/OhTr/KKPfvkqO64WkGBPPz8ngiBjuOMHwhxuEwKsEmXgDpsEbxezP5/Dfc3bKKJ2cmHg
4psfVq0c6uQH7q1VgtNMRmxwSrDv3Eolavh8oP6p6Ivz1k63FExarNKwSGXtG47mNZn7FpojRa/b
sCEzm6vaafz+FFWeywyYw0Jc3YY2yZ0EJ6eBVSROY+hlEpfrlHW+rLF575GwdHIj9R3f6k46u7mP
awzDIEa9iyidsb6xJO6zYYZqI3F1anUusevK4bWoHbNHzKlU1s8z1V+SHmJi4icndWdR2fvVV9pV
nVtm/b1C7BiCntwtuiyHkK+MZepTaQVDDd6GuAQC6EvjDb6MbAixg8AAx5dX8COLQmfwcyLT1Pck
91bUr+Y9V54sCiA7SNvdDoF/VvHsJPfykwDuCWx0CL4+IZ/aEGJk309ncUbOPExuvD6p5g3U78NM
SBtZlU0Fc5NhS9Oky5QCoePZ+Rfb0obDUO/XvmM1RehfVyTKv6Oive0Hsz2p7BLCmKpcJLhNZFTo
753frMIsXqR5y6RZWwpi2F7JmnpEBp59FvjklhZgTOqwvTCgzcEshmDFJdbgzwYR2tLXwlgYqv5E
jeDeSjy1aGPfwXUcnyi2rrp1Lvq5mbN12VO1qDVaJDX4UTpvU3UrcJBdJyjJ403oD/dtF3waKMzZ
vM4VmE4d2PZa4+jcA3p0haoMLbuKqAuiPXFhpl553AvPMUUNTARny0r34DcEKHQCU/TnNBp4KEOV
tovE4l/arHV5mAZntFObYmjIEilfFFIzOxgeI8f/C1W2Mf3rdu5xtfJLO7eV+mXnoGcVhdkYggAK
9uoh6vgdqlBoHwr2D1woMILAN/+2c1CMZlpQlWLD6nxYPgSR6H/sHOy1A9QxZMsEbHwLXLn9llgF
uPexnYPGiFC5DteCIkeIfUZ2LksgxZ6AGheNCOLSjSj9DLZqGWWZcVwn/gxXJjhoRtNLr6lXXduD
X5YSNsONOK6smDk5pXjuR/2NbahiUUdpIjMcgv/F0llU53c+6TD4IVXdeQvGVG241KhvS3swP/Vp
1C6YZt5pYPZsFXXcZQWhTs4bfWYRs5aWT8Bh4vhH5ZU/kVdXy7zNzjWJcOgwVcazsKs/9bi74k3E
roo8TRw/bm0XJVkttc1SmYhMS78WEAiIXMgUtLK7eB75tbHEEfdmURpyadfhPc5IV7tl44WyyqJm
yUpgWv188GRFY1/GXoYvPBIpYOEy+F0gsiXHCZY5XH4Ik0xqjjBcBUzaQIUtNbULV9D2LOHeRaSC
4y4jMGaBz64ysq4SWpww34OQowLD3XjRJ2WVTszUSWMgE4YpjZwwLfrFADyw1LWe2UAoOzpg3gzZ
xud8KK+F1ss8QPbKKoZL3cbA+jLxhRb8Tml1XkBpqwQi7xjb1qVVeTd+A6Fh22q3icVPnYOJqcWZ
VbalS0oD2OfM5Is8UV+jNjlmWfiti6rS6YXxs/PtwKkrMQ+T5ruViU2e8WKFzSB0oqyygYKEx9Ik
NJcUqMvTMGzBmoHV/04ydWn30W2MeAoBrwL2PbO6mWGLdpYCTQ0uZvmFNeU3m3WOMomaxX5Yw4wU
BuC/FreKinieIqDmO5v5bom6GwXQJwlpqBM2YDqzATdAQBvK8c36Mi8TmI9h6p7pob4z8+prE8T3
qZ+Zc4/i+9yLo3nQBdVxBvbeM2w69zPezFlHPWcowE7H8LouaoSAnffMVMPEXFhubtKVUQux8G0I
m6itYCAo+2cfMdeMyx80bwMpvJbPcFTGbs3Kn22WM9C2Tx0Y+7mTZ3EyDwcuWeAJybUQThHCGPE6
CFQaFQyuB1M5TSoq275Z+A0TbmB3F7TxlsTKLoMuu2CxvTKMcF6TVZq6Xnsm4JylWV3nRVs5rOeX
ccq+cJFexFmRQOwR9a4XdYsYA1VehLB1WPWVJwFyVVdpiDByMSu50I4SlZBVlM1VnJ8RUi9KI/1c
+jWEU/5plebpEpPSCQl4DUmzNOs2lrwV8LZ33UWakOHYRsm3oAzPLZZnkqGWr6KCnxKRnodVvkgM
CpFK2RNHxfEgGatC1w+w7Rg+Dld1FJ6SOjzFaf4twV0h7basJcQ5n01ufal1eUHS2FwEsRJuF2Hm
WIFpuRo2SgKOnEOWrK4Wvgn+mGBD5xh9+qll3pfBA/2KHAjSIaRgekDOT5MOoq/EBTZ+5Q16U2TU
nJEhgXgV8jrIV0Cy9CyWAh6r01TBF+LRq6qlwM6HdT9rotJ040azZVygn5BDPDHD8DQMAi67JKXw
WhcuSsNvA6M3nge4a09xp6iAAokj/MmyxTfsRan0aXZFjK6VeLB/MlEvqsHoZZHZ3oyUzZUO6oWX
kZsmKM9QY/iS5/ZxqCGP5PH0KoFkSMdD4zhok8+hVUFqpOqOWW/PGj/pgZcnlhMVSeKwrI1nidkp
d0DB2ZC1hrQ81bmGTn76g3dT5ODS9ZjEcHNBvuiC6F7n1oWvIDJEdju4JifEyYCMPml9Y1hWdj7n
LQfupxiuekhFzYymyp1Y+NcdDWc1MZYCfDoh0gZ8H30Me8UFMAsEvlMUab+gLaudhClgidL+a6q3
8T1aF2UXLjoS1I7dNuesTj8TqzkdgNGSGQlnZmPOgXOYNco+CXO9jEqvWg7wEgGTxUIJbN6i5/hu
wPmZ5YPN7gT4wFEwK7DeVFF4VnXFeuj8GQ9hdJY9uMAUf1N2BkSMHcuu9WZejJa8AmsKjqq59Y8g
WwSWO5c8TGzXirMEEnH8Jq/Ds8G0NnEFhjKkbBtI8iUMbggmh/AM01bLrhQXWgz+gpjtbQLvrbQT
EyirVgfOlmiDgXalraaRjA9qAQ7rGuZOPVNhUEsj6BXkCym7sG3DXhjQ/2GhS/01jPG1ldWJowbx
GfPqWxQHngQfsZNlBa9GwnOg1Do8H4j9g3p2t9BCA+ukfuioUDKz1X3pDYkUEW7cLKDDeRZHluvl
xSXMeWetCcfaPDipRGZCTlM7NDfUTKT1vcdiIPZ4cU+D7CKKROl4wAI4VeOd4ZzV0vT7YC6UaFy/
q0zpRXWyHWUF+OTWecARjLIcksxGqOaq9pe9VQQzDnbSgIi8NbLrXg3BIjSi7zHP76yWOzRI04Xn
xQvwIwADr7nGVo6doin48WDwVV4B7whGPHYScI2AaBt6hxm4vBCD6fp9+jNGsXLstL3ouJfI0vBP
EQ1TR1T5T9vI/BkUkX1rlYFnRpECsZ+xdRxYlsx94ysqau9K29kZWPNSeGdmEyyC0LQMJ6kDG7zw
WBTnKklUwKQOkQ+hTlg0EGVhUQSn/8cXPPIF4Ha+7kf/3in9pSu9TXb9cqWBMth6w9BAAfbCoVCj
/4wywNA5gyCI/WG11qOX/Yv2h52RGIemKIzAEswHf/kZZQA5PBO8HyByGRgz9hZXGrIPY1calgOB
Ww5lJMCjmnDeXcqg8L3OMnADtL+pbtst79cAAWgAXSF5VOpLY9iyg5Af/2qBZ+IIKwFXkBvgfaYw
eZVGkx0Pfl/LeIC0LLgfX2IgeF0d2b2Tw85f88GswBna8pRQB6GdyqzVrPBE4xRbPjMCYrPeMpy0
s4NjlvPPAshPSCRnczYAoc2BGIUcoL/UQJVWYffFa1kgmyi/1ioAwtkIxRIj/y4DorWj6MRI63OF
AuDXtlws0hGe9xbOZQ5EbdKGi37L3IJpOon65JtXkeOK5eVJACQvgtlo7hcMXMYWeD8GVDDTsbGs
tuyw7qwebEe3YYptuC0it9xyySWQyqKjXzOisuO8TpSEHhlr0gRXwZaJBjXvRAaujaWlTRvuGAFT
6raLekhRIAxODgTiFkTdSYTmvkquUi8wgPxMNyzBs24boaskX5gQs3PdgpMQ+0u0DefTxgKn73/Y
+7YlOXF1zVeZF2AFIEDoZiIGkjxVVdbRZZdvCJftkkBInARCPP18uKe7q9179YqO2PtixayI7g5H
pzOTBPHr/78Tdl13deUlxeQtt1RYklXAASrgAfMGDAAfajMepCiqG2xQAz9oZnsiifmsNmCh3yCG
CVjDuoEOqe+e06a26d0yWn7dmWXFGAIWnF0Lr3tbJxEDnJzrYqynKG+xoWcoxctBVZXK+qpmp653
4p7I8ENQCaDErvePYSqylUvysvo06xTalOlpShp+MUZ359VXAyuEJ49d3Ba29h+Cto2hK0hBEVWg
/6VfPVc27rJSTGlGPFPvCKdgB5Ju2cWtAWPutXe8LsssGbGLJf4T9cDP2BrcygQtVJOco0njFDv0
nvXysYurb5So69KrAQ8HfZ/ZwaiMetOXSI0uryPy4oXNZyhqgEpxenAsasFP1cfQ5489bcfdMq17
LyTo1NZ077REg0fB78jrpKQ3weRBoOTco1r1m9+0aHGmNMmS2M15JzkGJq/+GiTeJ/iy904sD40w
1272nmJPfDZgyKELYoCcvat+GS4+KT8sur5yFtNpX4bPXBGdi6F8Khd6ZWqcoS7k0Z50kKrIlF10
GL2U1H5I/GDNGt7UgPuhoqGV/zpG7MEO9YV3wz4sN2aMzrc2iB6Iw29RZXU/jMEJSak5puozByc1
Jfaq8+JX7szzplDiOr7MUXwrqvVIBpV1PkgEObpP8ZSmh5p7KpMVC3OACUDgem8CWdUu2OrnKp+r
4dMwqjNh840k4Un46/OkRYrzUZK8J/bUDXGVY8H6Wec1D2NFXjui2JHKBnNpkh5CU5OiqUxalKYd
i1CUat+y9bhGYZXVnapPmnb5MoK1CNGnbhUXVSrAZBbNd+0E0VHYG38/ze6e++BrAr8/+jgFqEn3
xCU39cS+xkmAtUWTD2ES3ZCox9A0ATiYXSd27VbiBow8M/cfQ6b3DRV1Fnajysa+PbMgbo4K013Q
mCnjyiR5gvU2rfwx8KNXqhq942F6I2dRHjj3vD0kew8BJUPWcxnkLqSvYUVlEQDayKKkKxzx1kxV
YQTI0u1lNb0NZi0f637FgD0ET7qaNRBWWn3thHdJ2nku2hE1oqo+WjGjrRNHFadvK1QvhdGgpETn
51L1aFCqMfZYBqmc+qi4R/nNGnL04cncFsh5uorT4YltNMSwERLr2n5u14oVXTSTzIC1KGcQEhQ8
RmK8Pl+n4S6qmosA00HAeCxgPoKNAiF6ODdriNk0aorJxPdgPG4m5o2YtkCg1GBSUjAqvjcQ4AQg
WWJb+hDvTE8E/EtV+ucGfEy9ETMSCDqOZv3ENs6md88qtvedre+wHnASwO4osDxrLHxQnhhQZ18f
po0KWph51OCGgmQ8++CKIn/5oEOWleCQEnBJHYt0luIPy0Yz0SYB4bRRTyypwqza6Cjtg7JCjd3Z
qjtqMFbDRl1RcFi8TgDubrRWvBFcmP5AdXX1ad3IL0/ak/5Bh23EmN4osmEjy9hGm7UbgSb9oQKp
DlKNL1AGbjTb/49d2fveKob38a8asvdPLfldBvzLu37rxvAsju15Z34CdBMDHT7wN2ATgShbbCxa
qhQ0/k9K3oAiJdr/hdp5L8LYnoKHDwQgkiJaAQ+z/DvdWIBm8J2OB/wNQ6hlgDIL6wgA2O0Rxu/5
G7OStuuxdV20JayYbSmAtJGaylxSO98nXuzO9TJrWfi+NC+mjeYPMhoBQYxM9x/fnb3/ik76E8oK
rfMPwBYKk2hLFPjj0UTadZKJab6EvQ4uHB1emU3QT4p8wW3Jshm61xc6d9j0BpWaPu/rAZhjuY40
ypH9qL8xY/xbfIaYdmHTBB/W2EuDg0vi8nvgvGDZ//URhwCffz5/EYKegQqzmPpg6n864ooKXFtn
LmSJOd8ly9p8mGHFIXtDHXqL2S0B2H9aptlKE1dBeOmTg5oHF+yGuTXfoFQbUSG9Lt6NpmrB4SiB
zYMOseQFb2txJyd2ViMT425Du59H0V/JxgIerIBG3gD1mNXhr3/Vny8DUjB90Ho0wdogP370O303
dR63XteMFw0a+LnlKeQqkQyxNDo9LXd2GdhjVwbNp7/+2p8HAwiBMJNQKL2xFvGf7bDefW3sLzzq
Rq4vOl2DSyDFdNHjkFdpKf6FfO1n1nL7JoakGQw8SK2ADOmP39TpyK39INpL2vnRl962Q3MoTerC
THaiwKjbrDnxXdrmNYmt+leLZlsU7/Xz+JXh9ozpiIBVQHX46evBV1SCa1VdaC/jL6qe4i+y2Y4h
XtVYJAPwX+fj0h9s01vIemRLv5uGjSfLXHS9JGSAkt3WrcxrqtUHMnQhARDq3PcOvP/O91boY2LW
RsMxJgkYyb++TsGfLxQGTJQNoORgZfAMkj+ePj+ZYh3HpYf2s1RfqsGMPAs8CZV3RpzT/GxFJV95
yrrrBRKnfdJGy9ZszfTNUOzvuQMqmUOmMH+vMGZ9m+NO0PNfH2T0J2p6Y32wiLacAtjUYwrq/P1y
Soa08gdhyA0ktl3J0p1hYj2AwCVsb+Zpyoel9+9n5eIJBK2g+RDowxgOAGOjDoLuplcPXRMr9B6N
5R9trdqTGzEDdHHffUhGaLvLXpf51NY1CEVDaguMZ9QX23njbe9BJsx5wOoMA61WOYY0dYwT0zyE
Nb/jTpMlaybaX0zZP5lQeQQK/BAnsnIhakMEhSU8AWl93Yg4fSn9KToLsPDXK19mlltfRCrHoqtO
XjpA+Gxduu4CG3u7tV6+dmNvHiffw+xilaH7cuynU1SG4VMvAisPJcaWKluFLF/x4Pthzirde58n
RRUwqTE8yVZ3p6BnzbdqxvADCY6SjxXDGJDNfcTPGKynHIBVdwDewG57CxlWZId+HwRLMBcgVgOe
z5anPXA9URZqJMNu6titKGHq2AVBa47YaiAX1X6dZKmhzadF+eIqHFj3GBMTHyZWe+F+TNT6JU3a
oQCpUa/7WaZ87y2L/yUcG/s28q6L8zU0Pmh3Hs58v5i6xc1hbeE4ZqH90JZiB8ZAHTX+KgDwaGhx
otVMs3qsay+nYCQy2sbLmkWmKXNiPK0OQyILMCXOv7ckiHbVCJke9EJRb/bEWDbCCkCX60Sua1Pe
T7Y3SmWuapwevolShOH6MlpvoQqMx4BS3n4NweIZdN+TmabOvxhplISYpurXw8wmU57UUFVdVodN
++hTj5xqAMhTPuEalBlGW7TAq1BputNlif3QNNL2RSIt9/OhMUF5K3oAPO1ROmrFzi0NM9fJaAhW
lC3bYLT5hL1wn3iiLm9n3DoJUOe0S7HgiIRRQzfVwLKmx+ZVFhihktwrEeQWZ6704d5oIehTOSAI
W+5tQxtVjCW6gn2suVrzdI1RMXUooylXYvDQEY+Oj3dj5SlVtLxK37xpxli489vQHKoondJL7JW8
PGsCnWWMvncZ+9UBL0Z1E0XHBVVFOc5rv2fDqKu9axLljv44qi6PQ9dUObRzrjkMVV956J+j8KPX
qTXYASGWaod/fe8WMAfaf8A9+mOtFFMnMjDTFBLmgId1MoTsa68NA8AxYqRQe4lQmEM5zJ1+xGZM
zjVfQ7mfOhxB0ZqGr0UaLCvL09p19kalDkvbw60ygJgKpvNA4rjZ8ZLwaUf1jMtZ0RH9iV5rsn5v
JByeuxQHoHbEKQFm0K+iI8cUluShlD3ZVW1V7taplPDY2KFjd3Vp6ygnVV9jNuvq1bvyyybaB12J
2Z4KCFCKwIm1PYkqsEBoWCRstv29LGAV01g+nPT5YivMdmapvM+DdlDLZhXuo/ASrD/kfOkceeTJ
NTacLgl0Ge1Os97cxJPGlsRHKvEGpqA32peVCPTLGjRanHsHrmg/2nitrgLDzVNUh/GXeClVmaUB
Fu9+0gslxZisFQ5+Cmq1A5krR/AYZVEFVf/SWIvOoub1/DjGiX3tBkGOM7W8LFIJTBLgfInPiTGX
LXs9zBi5lo5E96OJg6fAQK+X2cQb09wEji7FHKq6Og5LGGIWgnIvvK08yp6132+Ls6778UCbUYx3
i4tMCrYPkhRYgyCF27Vg3gJ4QjR7ho8OqxuAlRx20C8v7ckA7w5hQ4F45SFMNYtOS1TbCdSJ2ZpP
4Za7WHrJUrRW4avbdtPuLqEy68GXdPvx26Fb1CccV6eCSxSDVbuf+hinCpydXHMmZ9w6XcNlda8H
ilt+mNAVcLyGmhoaLW77IHIDplwQ2bjcdlimG+WJDmYSf+qX/YIHkZDCzX24FQ3cTBjxAxSQhQVb
n2y0ei5Dws7pXAHPS0UssS4cT75YTXAYy1C7B2IWf7yCyy6sr1qQsfVjit3iMGo/uPSM9y+AjpPN
rSOq8NymnEHRK1o+79xAeyi/qCOHLsRpzcGKuK+ykfHdMo1+e+x9N8uPNlEwK6nSU29uZVsNqWDa
2mEOSEkB6lSM+y5R7KPnA2xRtuPQd0coc26w4qFqzXjF1MbNxOEQcpS9GELKWYTseahhzyuaUOM2
WYHwsFOk26D/rlCQ3TkNsKQKu1XsooZ7roe2dJ0LbDK2vwqGKUzykjVmxk5LZh+td19/hgmPPXkO
bfp5ZWYIvhmovsZMBQGFMsqG+KhFBWLNIwuz2wkSVQHrg2TJfgUyYm7AiDWP9TyCqqXjMVILPGer
TXBxpA8gBPoB2bY3Olmia88ACC9Er9V8xR2opjyNRyWe0ImM33ymUUZQOsc5kwIahIzZGYIJXbr+
seF9UH0K2pWkEIujA3MfOkM8QJz9WA6FoJ7kZ6/s7KvgvjeDFRpho6yYH9wvo1euh2GC+qAABIJF
Wm2I190imzW+qKRrgAB2s5/cRIGIltyhuxkLKzpcNZvqisP9RmHCTMexgUONLFBLNGE6HNYUIqpM
RgunO1c6H6RYNyb9Rxu74KkWA9Yadjr2jLUOTEMzHaDAhh2r96kSiYVq5AVyPJsGmZQz/RCHurc7
G3MT3URlk84PfQmjHjZ3rOiiqwiuJgYHt1xXxMj2mg6dIHfhAiT2BNkAw+9aFo/fyMHr7E6NJWoG
urHJ3DRNieMfmOT7UaRS7Ozi+yfXR7jvHRRAgJtLQW9+dKX/3Qqwm+rr0I7tm/nZrfLerPK///0s
LTEmiX/Ob20PDHwPv/zip97e8yuYApVYjBl3e5J0AKvh5oT/DUzZHpgGasuPKPT++ONvKjHYVuAd
RjoG+CsEnaAo/K4SS/9BAuInKUkZRngYUv4OmAIh2E+DHT4AaA46DEZomGKA/uPIYQZb6yasl9vO
lF7WpWZHy2Fr7kVeh87s4Jlqn6o5aG5DNIyP41QOR88PpuO0lgHUkdBesLY0WR+RCwFGUqBXwL1H
6+9kTebcwPh2Jfr5FW0YBNsOuLTsm+WOcQ4fs9I0Z1PZPkUjnAf+RCGgYru5Eu2t4hvzgB3oARwD
oEo49Qo+l/AoB8EHNE3NsWnIdKgZ6nc8nYhLn3g/DXvscyGa5a66bapF5VHCPnt+Yo/Mps96DasP
fWTbGxE6vTcr5LOe1Av0UQ123iAtsScZduxBsdxyGwIeRwd2tB1lu4YTduw0JPic00/tCPQ/6moo
4iZ1PUHLJZn3YmPo4QwUwKxFexiL7owRqJCU+0XI5zNu6CtoHp5xNm/ggAERb9rNkQMprJbiczxH
X5YETTNosY+8lx+HWDdFJzhmNF49mmhsMtJ4oAF1QPOE86Nc5/7oJeo74aLJYPI9JwOgfrNCIsfi
ut4bL+Z7UVo/0/H6ggtdo+3sHluvvESNe03X6khKCGWijnwr3XjnjXq+lmk6ZADS/aK36YVg1wNv
v17iFpfUgFTqnYUgibyGZPi4WvkV1RqqIyHOslluE8BxkLYEBtSQP6IlDE/bU9jBuC/jznJ2C/W3
yUMVQYSXXMOFnRYtJSXwYfHS8fUeydtXEBnB+rygI0S7zjKsjyVP0l6mt8T5NXnFjh67EzUQCVLB
r7wyWqHKCQa+a2LoMwSNv3sjXClTGmHGdyBJ4dctWR1DeNPAnwIZH42hlwtVcE3QyGfNPNdZ6Qdi
x+MU/Gcsi7QPUqgN1vBhiOEmmdNB5xGXX/uwizInKldUygGmrhlMthIueLniJFdjefIcGhkeg7Cw
uMFzHyuV8O6h0XrBykYjlrLNjKP8Jy3KETA7bMutXrIhxjBOWaJ2YWlhXvfROLnyu3PhsfLS+CTj
+GkwJYR3GspvSXLgRZdojJuTjeIkU3ZCH4AtBLN1dEsNpM9LOhjwy1WyXwY4hLF756WJr/3KdjnT
juW+F5+HZqrOgWuv+qgJTn1b4SoZljfk04gJzbN8b1e67CPwwqYHPp8zBW8+vNgZpCK7tG9eRRPv
07bDrY7bpOvoghOrPndiPC/UdifpUbg9qyC4FRYm/HLyxAN0FvysI6h1prS8zL3XZjVLitBh82v0
jHU+Q/lVdsu9wxiIWbKTaN7XNJvCsDz6vYmKdGyjg+MlA3bUjyBW9RUXPsUuO5HzmPD13NeBd4ja
3i/avgMsDAnNKt3Z8/kniO2x49YVEhdA+Z68KmK5kN3ZIzbnC3r5pO5eelrzt1GrHRO4je9pXX9f
69WgxWcEOrv/kV3232//3JC4f75/Xn+R3/+8f27v+W3/ROTylvEH0UUEuHrTS/+2f0JlzcDQx4ja
2FQeeOl3aUgMhBdOUooXwWPgA393k6ATimG5psCJ/Y3d+BtuEtAYf9o/E+SK4v/Dxo19/mdrNUhU
7Na9jm/l3KAWcdWXj8sCoeYxCSt5sHA1ZI6CG+7TeAfirTlFQ2zzePLioyyBzykXqhuLqAOZ1Q0M
cssE7T80knVGUJ/SrVDZrWRJmPS8rYjRrZwtjb/HaALFE5QjbE2/x+jcAd1bvit/1MMElVEv9gpF
f++ls0CzXE8PCLiA929JPjcLhJRjLVhhg/rQYN5ZSXewIX/oAz3t/MStuzGEyV+r4WiAbbORfafl
dF+R9Hbt0xN6iccq3QwT4yePp92VLlFDBLJARFSdAmY/NYbnqSceVRh/AJyyZOhoBEB50j0GI39B
Y3AiaVfUfvlCGB7bIgg01nNfZtLMmOC27JAK0xKG+Dkfhm5DvNhVTwRa9SG8kmNz6dG4QIDDb3oV
fQFueoud783gRGfMtPnaWpSOsjsrKmmuAN/FQFR9tyLVJKQZW6Eek2H9gXYEEAx157X0PqWDuHc2
QrKKqU8Th1Gmp+NaMAfrXooq3QVlkte2PYa2f5GOH2QLgXJMhnXPHWZ23omvI7iS3HVBvNOBO0B+
c2442hSYJi+6i8KdNZggq2F47koRFWR4mxLnHxOZsKLEvp/xGJgLDd68ZazgCQFW2Uw9BK8VUilo
/5QOqXftseYIycx9g+mUzUBDoxnIv+kAonMNEaTP3Wc4hs4pj77ReCQwj9YMUpn1JRq6c8yjz4u/
3vep9zQPwYvtym3LF29Ii3F7xGKAyh7ri6LuKMeFZUMUjEhasN+xebWZF8QcvmW+r8PpqxODzeC4
39NZfsX8jtfrYRNQVMn4OoPRuF7iGN2JmhZ+MLBkNRiNXHTA70+OygUL6nxcTSyf1eDQ/6XUg3EI
1WAHZ4VmkEHhzXI740B+ZFaViAhAgtKeeX4F54L0eK47IY5u9m9X3Az3Lq3pAX4isN/YHbPFhmdC
aoLdm2Wkx3vWqvNuaw6dLF38FjP1DC9q3BOZycD5BdJflpOiXpzF2A3PabqsBzrHFpLOymDrtxy2
sHlvjfqa+vy2nxE8gyJ1Q6YecBxj926k0LM39aVPOrijgo82jd3jgFn3RQeI+gh7TJEkWOA/Hboi
NViQsATIQgPYnCOA9bBnkYwEuGdBqGLdhMwDNgcJa2DBM6ooQhoJmEXquRsZzkDQdJhN4IayqYEo
C2ay12HyDgGBY2smw0knExyUcXqGKD4+BxwK2LYDpw5caPgc0h52ZZ3aYoI2PYuq3mRa0GZXqaHb
g1FT+YpW8GsfhJ+AR5Z7NuLv2sGmB70i00XKJj60CgKE0av9wyyhTw3C7fqWsGisUXnVM3EAanap
cEdB4DudayhmhcWvRvuxD3h7BeTtUKnSFC1rxqxehxsCl0W+CHi8STrhCq0N8nXk3tTC7ZVW9yKu
IsjnKMvbNL5KYRKD3tU/VLF88efhMHnj4yqhyW0aiHAAPBUY2W/GaeB7N2GwqehwKLvumEzjGycA
22NsHjuIanDDyiYLb9JFPamxbq6ZmO8gWR6zNoK8Q7UQqXFotuLafHSJRlRQdzWV6fcFiGzWtOps
pF0KHiwHmkSP/+kQflGQ/qVg4dB81/rPLYKPN/3WIgR4SAe2/4jiaUvhH41YiPaG8gD/IP5rc2K9
bxEg6QSt/at8FC/92iKw7Rk++Cz8B3kpiKD5Oy0CWpWfWwQ0Lhiy8ZmwfaEX/2nEBghHw2VKGRwP
g8vqOFi7w0Baru+Jp0VYxAIgz2d0EsM9aUpMcWpGqV9ndp3U7HrQTOadkq+4tc4O/o85NFjHUQTR
TEcazLgDWU96IX0xzexepvZtg4lyOsDeP4UHj4YIioI1I+4PPu8OqSaXpfOOXtW8xsOCOaJur3lt
72VYYY4xw46jMlMfqvm6xg042LxiLfD32h3gjriEq7+rQpBXVsTNfvLd0QXzkGkveK1VkC1w35+G
lH7qInpaB/u108tNyoB8FiV+2wtDYIKBDB2UZPt9cOlOgvFA9w/fh/Tb/naF7gsBRxrkY3DsDTxT
splza/w6k8Qbik5RffJhwCom7fm7sV0/KoAHoN9BKNZjmA0yGooQ7hARhYeaTHw/SAKV6MBpUdvg
SyqRpDQiK6uPKDKp2ulFLeXnqa4fhW5vAYIibU2V8V6NMO1qX59shTgAVo0LhkkV73wbzTDKpe2h
EzPZTaCLchC6CINy9yqWp5H3gOjD+ptTcwrPBRhmEHrQjSJfiXD3RYcT9psgeDOhdw7gvLPGXdeY
rDCimhosFNUAKyZ73cIvunOR52VLYq5X2XxXnrafcD2vTPx5VcA54Ruem+au6eszEg0eLTIDcpjF
6hF05aZh90I9rQX2TWjbAY9uQvfgh+p94TE9NWMaeXDXQrGPkX+BG7hnNyH1xJnKdj4gaKKFjafu
sCf6yKWAiZY9lrLEXt382Lf7dk2O87aZQ5kYNTvM+PyAURIbNtVDeE2bZvqYtkl6REaI/4vy4r8b
lvx3G5i2Bzb/1cD0fxokAn378nNB/OVt7woigg6T/5fDCAjj3cyEcYqiHMJ18nOKDh5thnpIII5A
Kf3jzIRk/RhFFE8c/qXG/r2C+GdnKtogPIIcJAY4TuQx/iQmSRcstCkV020NH9k5bVh0M+jlKtVN
j8FoeE5gg+trI4+6pc36XbRj791PzgEIWKscfGZzzwQsaUa6e8Ojczuqdt838KIHq4MQSWLwh58x
Aq4l9hx60hPYbh+9OTSI4CO4yNnc672iXTM9Ot69MBh1ELZHQVCCckTARjhG53nx1nOM8iXK3KWu
gmlW7lxYQu7uDW+c6RUaKL88ONSQTASSbXFx83PH0vQK3a+8SYmG2KB67CYi0Ogp5++7IK1284DC
RWemdy1ZEbbTQEgZJtAbDzCfSTqYoudBHpvQ7OOlu8BxNaORaxlc8+uSeaUBhym0PQ52vATjyHKj
+5cBgnQX2EIgNCAcwxs/4ld2NQjKqLsJbbPrIZJNc2SLwWOOsE6EAHmwpw+Gv5W2TT67tZ7LfQ9D
TwYRBvhxMQZHNkwPQpLHFAV5OnWJ8Mx9FWC2hYwi171Ijn3sRv2YGB8aajGVdM4ILaMDCSDbhDMt
fkO9sCfEtkyHSUu5W5W+c/V4SaLurBtx6f3wKjXeHrrcs6eSXbuC20Aj7dfwJlfdN6vDh8qwl//0
Uj96qS1R45+jLTdf8IyVn0tHDDvTu15qg1vo1rCkW+bq9tJ7uCVEE4N8GwzIwdaB/Qq3gJPY7mMI
IGGS+QWk+bWXov/48cQNxHOhRQP98be0n8BOfu6lIDFlmzQi2o4CH/hHuiJFKFeSeP56S5R47uGr
xV7kNNwbfb8LVsQC9ckhgK0kdh4yS9mzah3mtQl+ScWSpzqFaL01J1XXRT+nJfSJVGHIrABNfmha
FhRt6N9zD5lVxlacwbRQe6/QtyigfgGZxRUtZ9AbsfZhp2hofRxhSCzUVE/3Pqa2XTslj1YiQSSd
3S1sQOiHNNl1YkUE5dI+Oec9I2PnA2kh4PLhUc39wZ4Sz8ExkJ4hdd+BUP46rEjlkNpmHHaPrg7v
WOo9h/Ood5CGwRho5M3cIRx1KvWbGyCKFrAQIaGH78JBkSIOl1vQv1/6poYDZCbItmvFN+id1p3x
yzFnS1pw39i8a0WwlzShoCK8yJ3s0no55turYKK3MMbniAy8WqcNw4bUbFYQUwbhfAWtyUfhsxcv
oi3MkIj2AaljYvUsK+i/hnr9AFJpP09BdwlKmMG79g1GHlS96oFN3VbK1HXH1SlQ7lmO05XXzm/+
ECPrxHMUcaIE8UQVhjcP8jwQHvLYj14HIyHkPa4NdyV6zxzqu/Q2dJ3LV9fLfDbw6sBOhHAxtJdt
DZO38p0HSQaECnqBnh8E3FfhADoTQDKmRMs5LkGu0/DEEnKcpuG2bADxE4AKN6If+g7OdxAzBxM3
6MziBjocM+TjGENCIVVGWrhohYYn1i9fJUFv2ixeFk3LrtbLF560QLYnOLCRUQBXtkWvjOFaEO+L
P/A6H2bYwQNA+AFANSdlegMwcy5Sf5z24SQSuLDIsUOE56NA8tIFxBuGZDBIMA3DVbUO01HMC1Jq
kiZC2hvdpUoFB+1VZt9g/V+mKj1QLzoBF3/24/joT+GznU2QczH6OzOGwQXYQH3d6RYoPtTWhYjV
ihSIGpGjyybeibxtWwv8S7eQ8L4KW3qs5HxgSBwDwnhWcoT8og+/pCSJAce46hZPYLLwvUV7l6r9
ZEa7C6Aty2OrX93Y7sO5+tRyDBHMQKQGs1ReN665jaIEZPe/0gJvNeB3rSqcbj7aG8QrQ+wJDiTd
MgTfqyg7smBm8Fhw2ygIv78hEMeq07u6effLh/2vfxon/eMr2JYPCs03KiGUsX/8CtfxZayrJLqV
4+sk71z3pNl/HKO/sOM+5uN/vkfhnpjGP/W32zV9t0nhUTAwYyJP/NeglN83KTxUAJcHzDnSGYEG
4ML8ukmxf6CvxUtQQMUY/Tek/tdNaqPbCVKawRVsiwa73t/gBMIfySq/L0A4FCjyQAA5AI8AiIC8
qT+uDjjQOcRVJVbH2lF3WpMWdOksiClvIdwhSt14EIoiRpg2uTeJRxfxCAae/8veefRGkhzq9q9c
vH0O0pvF3VRleZoqkk23SZBsMjPS20jz6++JHs2oRxoJmLceCBAkdLMdqyojPnM+uw65HOorJGZq
L3mTbYagt8POKfS9zq0u9CerXQ+yejPmhU9nR7xBtpjCwiJo33buKecGt26i9Jw2pFViFLW6ADct
fRIz/rzQGArcLgQuFREqzSSN7UJukhZ2QuL2p6GEokJZ6kkaLjJ/uXPzgo+wKSzlskMXHOkMFTpa
bHUBUPxYudWhUwqryOFbm/TW1wEZnpVol7cgbS+ui1A2AJQBCmeeTb3Prwd7qbbE5EosTljLomu+
rCh+4+nZrwvN2/Tz5ziZTkhKdyM1Cz+3KK8n036qyxh8oD/WextDDsEDBzOraaJZFeCoBXlhbcjp
ZC0i3Zjt8omruB0qecKG2Bm4l0xM7jqr27QEaSHMEEsA1MTHsPXZ08bLRhh4AcrpYl2VM305iuuq
G8uJ1ut57okHf6Cbluf1vqDhMFXpQ44kSz/zUrf6KdGGNYIL6S6nuEi+pUNhk8ifRFvues3wt75b
Hw2neC+7BJSkF13pSDtkLXGUf8g9vlJ+jEmvo9e0zWNz0/0Qh7Sln+tdAbMWZCX3Z07oiOsAuD9M
5PZJ6e4CAT7oEqpRQbwelTYvEOmbH2q90u0LOe37Obmxy8jfaOM0bxtE/lFzAUT78wv85Yd+mS6G
NF4tbAEde0Aon8BVjoGHdSDM6TgqLyFPMCa4rZGBp1/pK8fBoR6YYkEQRNsjNmlXJMMfZuVScK0C
Mhr7t5FyMIBSfdl8CA9Jz5NUuRy98jsW78tIK5tYZf8olSNSKG8kxyTJlFviYJu05L14eIMFUY6K
ViUfcdYsZAnmZeuPkE8pCe9MrXsR2AOVcmZK5dGQcaWiiGvTK//GID82KUfHb7XzjMXT9jolajyf
FPPHiZKYhCx+UBcBX8QgIhG2z5Vj5PbVsXSwnxPyu4NylRI3++qwmWrsJtlFV27O4Sub0xu6E6da
OVMuFlVJ2HjFMUZSlfXoQ+JjpcrRaiaCZL1yuUzsrjLzXyBibIocSjx2mKV8sUWjuK0pDgR01W8o
MfcTiAkdM61RrlqNvbZMzQnCfn2KMN5cyEvUU+411z0kGHMamPNEdz9re7kpMO4wp4b1ory8Wrl6
ZPXvpKx2CG37eBC7Vvl/mXICefe4rx3mIMLVcBf98AsxDgsMRFflLP6+fv0qZfNJ/58fbaS2+89/
v36pw8NPyo2OykLZSrdgkLscXX6/fpmQkZXGzX94Vqnd0n882WCKGSiv3It+ZRy73Mx+e7KpqSxH
yS2OY3nc2ey/8mSzaOr9fLT68WQzKN75/OmQiagC/fHJJuupIz6fWLfdZOvrZZKHcba5eQEXw8Rq
tpVlUgHu5yfKmlbYxfZHa/lXPWDO0FEJ2XRCHOhb0CQjNWbUVZ6EOsX/pR7CqZM3U8sDii2Bal1V
w/sclC+JAOdf5HeZne7oiB4Btt81NYDktKFtHKDUIJuYVyXbBSuKut+6LKjWeVBAlBmjb0uVPjkE
84HVAmJwp+LWia1bY3Q3AWq6lzfEahbrsEioC0Nm+muZTDtKfBvTr79Qj+6GMXaOZRztwHy/+7iH
Qbc8TuhNq8zkUmgRgl+5YIpCtcahT2S/vDp5HI3hNZskCxJZsjeHqlzVHWJzkdCm6IHVrkVt3VA0
PuYZ8YCxbb8amXBX1Cpws7l/q8y39Rg3t6kj6+NU4PEPAmSyV3CxyJKWR60eRzedWynA/7C4xO+W
L99k/kDa3sciVEc8KpKLSZx1lXTtZ4JCc51W+cEJNOKkZj3vkrLzbzuO3xtmHPiuDQlKdYxpn/G2
J+JeKoaE4e6EhFPptqSB7cmLL3psGbulTmNa2fSIi1KBlMaRR09hgWOZ83RvWVO+0YRAf09ULW2h
ZAUrgpdAVZGlJsRnTDP4RLsTXKDqiHSRlW/aojd3fWWxxmClV6hMp6VPQV4Zh36OFwxJ/ytaUiAN
mNQbjfp7OBOV2BiRR/puiPONntKW5+E3I2s1wa5PXYguUzvsAgBMqNstPTNC/HcgFv3dUDvJhuxl
utf1KAoljLNVZ1naJWdFZlUs/E2byeV64uru1o+1nofN6K/mKq43ADRU1jcTR6frxh0kO3YluvMw
6CWoBn8G/Fa/VzlTEiJxqaM0gX2sA9CTMZei1byofyJhlq9j56TfSnoQjHPAnJsVfc7E211xLDBI
yoHGSRSlTvDvjhGjDXt/xJ5IRnukrQHYLlOEO12x7mRcaHu9T7eDkyujBUQxiehVoRh5NGeKlW+n
AIlgV4StYum5iqq3wLdLwey5Y5FtSHso/pqZ39CkIiuRNV99ubz3+NDbvjYGeHt5ey0ITq+tyQ3z
tnEP7jzyFNQ8ufOj0r4zwf/hFfUa9CoFBUx+AAIFqMCRP5W3aHgcCZnJzk+anSbmB0MbDU4ysbvm
SHQsFX1wVBzCAFuEa8LMYxxEOi2WjVDUQs3mCAvGUCqfAxn3ocD48NLyPHrdWtO86855jbBHhsqV
zzDFP0eMk0k5KKXyUnzlqgw//BXltAjlucSZfmXyuyXgkqS0v0gZgmdY8mt9BPknA+9xUQ6OSAmf
9V3xvfMoDtIrOlTYPUhUV5zCKbUpJ6hUnlAmDIoUMnHCaYbsIJV31PLTS+UmeZ0F0kI5TEZT3A5a
fJ9jPelYUJhlfArqtQw97CmBTTVlrgt1HedKdlW8NQYDKdmiWIm7BbIMGLtyvHKsL87FTwMbFiF3
/nMweT7uFB6Z7zj8TOWbDcpBq7HShlTfk0cnRmJH21S5bdzHcSSVA6dNQdhP7WenvDlHipBKmPuC
els4G+KJ16XZf1RYeuXgPOMvOgeB2Ze2yzvlOSpirCrxl863CeoMlYMlzF3vJsEyTJR3aGIiEpCF
JFgZe61xUREajl/4jZoYLypCm5sdGHQsyd6HaIFFaWBVanazi6mG8T1dT7nB/3feEl+IdQfqoRMe
xtfYgxGbD706cg/qOmVnF+o8Gs8CwGTWfEp6kDGc1gGuPOSc3hMXuKM6zg+c64FlrOlS4F5Gnbcq
OPtH1BXRLZBiYHFxN0D3/IwGjuA8x7R51/lm5wOVhyQXu+WdTorl77PRP679SLn/+WwEl+BNfrZv
3Z+cj/jC389HAKQhRzPlQNub/+J88vv5SP8lYNWD3S0DdssPl/23m79PBJ8v0un+Ul3+A1saeVod
ZVADSMAr2+svnY/+PQ3oIyEEPBKw0kwUon9xtsrY50Ei/epW1/N4zxV8l8TcULmwngZPztgvZnc1
DWa1s/QFQvk0nMsUDKtVFu8tkMyw07o9BHZnE1jtvI5H11qldtKseTgvq5Q4NRqwD3WucZeQC11x
buLgKXEWIPatZa0JdZ0ooF3hx+79KuCRqyW7Zq6fIj8mEdf410s7Y/tUmdwPeX+MixRAje0cF1+A
MLS9a2BbYGKxjHrhX4LRy8KyFZdeb99Mx+bm58SPsgA3NNIHR1r15DqTy7Vbek9TRFHOsKznIK+e
3Emegsy4Gr38QXOK657LO9Z08q1sIZhoBt3WaDx5oGLLMiUFpL2YpHGxzre9zmBB19ZXtVc902e4
ASGHxO1MOzmBp+dFAWEVsHw55dyVvH4j3CVZ4QnmodVOLom/Zt74fjlspFRs27S4bVEV6Npa+yoh
Hs+mwc2YQz6Jl9HYOVm/Td2GqQZJZD8zyrVmLmcrcj/Mvn7IhnlLsQfBNy7Pk+0CJCoOgp4c1Mbu
7A7et6SJYrgv87Mr8B8ViSnkFA/OroSRZ0FoQtPxOPIul3Yqva2R5MfJAGKk1s/83vzmJq1BL8yM
oN4Gt6n0zJs88vaTH983N3ZycNnHoFN9cuc0XbObuxWeJHDW0IHql3TTE1+jE+U/Jy6nHSJoJjkk
sQNkXq6yovpA3q/CtCdSajYG8jANJ7WP1c97AagKonf63rbWJ2TCT07k8T5u7BvVDpskKYZZl5B+
59x+tJyMIuzs89iJxLoqm2PhuIfcMahcJtvWjxlXoI27mafJXJuxO+/8H+Dr0hn6zSi1i6jH78GS
je3a0TFYdZYqlsbu8Fubo6015pqJon3gkmmpzAi0FUZPyHLo3lQDGKx/vdETfRB6FcqOCTZl5vLS
5XUUPFUWSKFETWlw9Gs2IognKhcDZjFdKB7ljG+g9pCmdfK7QMK7AP+p4JiHMnCvItkZq0KNeOQx
03uelw8bn9GVraXGPlze6VtNDYDoFM5Os1leIrZBLDUS0rMWQtJeJ5xBxq5GCVsl/UihbmHzwQb+
GmNS0SOhH11MZF+T+hx5zlVSsMlVq5kSl72SvHRfe/ZLuuoibBuEWuuffb+IDpNb3UxRjuTG/Elg
Vt8pfxBFZRilsIt64xFgCbVJy8Ja7aeMTgPtonHiMFm0HfMW6fJqqsGVFnbcoYNuJKpmRhnkZSCL
6G1WbU9zbq4jtd1SMuIyMZ4G1VPjrJo8anH2mQ28ZWD88tpmAqYLoN6rTRhCShatufwBisBXoIZj
4onXnaW2ZCrytDbwBLb2aMnIuCmvNHNyrg1WaDR4xzeTpJVLbz7deMEShZOarRmiCL5vy5RNMspr
2Wa0LtTMTR6I+6Tl1ezYMWNwOfhPO+I7TlcX4sW8XOjPEGZZUFOI2y7rmj0dq2lJLvM7sXdGjFiT
zO7gOUdbOUNFq2gN7KEfcS2jqkK1HTR8cyls65Sz46NH+gM51CrEiDkCuzQ31rJMYtVVbZve1pPR
PmcBYtDG7UAir7shPQ2DxKTusbNMFlAidv5S0b34QZzYf1sBv54JrP8KYT8zAvBnBwL1VT8fCALi
9zZpfsoxijr0+4HA+MUmj6+oKTzjfzQH/imY2PwQEj31ACXT/1SvY7yCyWIncNRemq2yM3/BCrC8
f+WmUN1TOg5/Cp9NVPyiPwomNtCU0opmbnP5SKAFXxM4it9k12mUr+2lu6COPkXI5iZE4R0FqSdN
JJR24cE6VbwLVDtLZNO3tofyYlXI6uh3AfTeIYrXbjEdLHpVy0AiVXup4vgY0ffy41sjDdi4FPTM
qUoFPJEIjmQdXVW0wO+5HaSreXAy6qL+i0dHdeMDDuQW3r8sFX03E+ndcuRZjL21aTAW+XH9tMhp
VrrmtWJDwTjKH0uNj1mgv5+iBoy9mN99rWbsZsiAmZvTfeFPHPsn+2Wctad2wevj04FdJBeZZYHE
587zifP6nWsQ2plKLMgpSkMPg5//0X05ERBFueCHSwQDE+uXG4NYUW8wQ4gNJOIr60PPnp35nNDY
X3X6Wjhjuyc0qa4MBBlHC3WKh7o+0bBLLKsPa2seD21n9cGbIexIQplviz1GLpGgqcz22L8Nq1uA
+Xp7qjd6hMhO62PiduznW32eGR40JU9sV6CAz/HYX5K5QblZ8vYioVChK8iGayvQZlNR5jv1iEga
1JKizFjQaNznamHPaxyycWO3Npc1Bbvvh4SoelABkAgiZ+d643zhtQnYjjtbmI5yneC3HIMc4GSU
2eI6cvQ0HIOhOyax9HZTC52utLkzhw0rVGjIFspwNnyZQeXvWCsd1k0GoxSu4rvs+faZfoDHokQP
o+HjFi5Tted0/MklzeEYAYukrHmptpADcn3o1hQa87NvxdD3+ABcZdosNgFY+Z2do/pksnN2XOo/
i8kIdjAuklUDUuMMEjk+8i/H0TUayze/othnzkLfR8ST+IZpaICIViuLVGIbQkBikqTVyvcaIg/j
ReSiOqcjwuRr7Wn0qvEUj0O7A5UFO1NF4+vezTd88yAVd84XbREiX3PyZWi2tQPjrCWMbxUWJdEa
Uh/h3HdA3kyboIwhjyCdxEWLdFbbkuLFaGj8KUt2liAzv/OeAxmTmvp+XOgbbJLUX/TNZPnTNpBO
m37lJEv2vmGYF1r7Da6B1536aNHbk1WLdQvOnpEmHCwdwj2jVtm2Ano/a/g0+kJdtgrGatMlRElk
96LFzVOumPkkLElwwYzdSEXUT3XY+t6cPtLBxdODuk9BDm9BkfhniJLk20D7LJRyFKrfcSGMVArf
HwzuZwLPf9AhnyjA/wTpf0xB/juw/y0tPeY28Bp39HaWmgfA51MfIsE1/xSHgQWBivepNvC66Av/
gQ7VuWFrACPGQ0ipbjzd/jBZI5C5Romhnc790voHn8WCiuWCDqY1ybCIUxpReyq5yBWoXiIS4MJB
+LErMNmAcUsA5N269ZO7mPQHs1WkUAY1neDoy9sE+mJF9msPGvCYsbLgW+O1RsY5nNUAw6SmGEpe
bApgU67sMhDv7K2Vr27Wp/vYkgIKA62HSSlvyO0OuMiqowRRvAedw2eWPpQb12rObJPdu0rDS5Wa
F5foepNS+DKl9XlK9Zu13t3WSgmMqjG+FEod7Hi7XAb15lmUdtiq37RXemIaiWCnd7W4y5XaiFgA
pkgpkJ3SIjVnCna10icXpVSmPzRLpV6qyhfkGBRNobTNQKmcbut8AaRZwsxeDpxfbnUE0QJh1BlQ
bK1RN3eWUk0tpZ+CtxNbeq9oqkpdtZXOairFNYUfJJQGGyk11lS6rJ/yp02UVmsq1TZX+q2bwE6Y
laarN5GxY2AmvjhK8SVnwq1CqcDQYPGxlDLcKI24LHKOsEo3/tsa+tUaIqXyX+QPJNX27X9gEvV/
ln3ga38/8MAT4MxCA8YwDFygnxUQeAL0HFAz0Ec4DP0hoGcoQ4lTjekBHPg5++D9wkEIACS5vv+P
7MOP5Msfsw8KTqcOV9yOCOr9iwISFN4SsFYtb3MpwGit26aCUjoZ9rHEjOHd7xbf5jTmIjlpV37J
dSJ1CqIIMNoTAv3k01MGmvtT5k/3Up+u5ghYcZ249MBHH1SKWCBQ9Y9jMd94hXVwBH14tpo4VHUc
09lMqAd3PbHSJRauTwUaPGkMaKZeAEXfsr4sP+7X44+IqcjAbwvL3ICw5jTh21vS7j6mPBImrvrL
7NJl73J73qCSFqHe1g+2OwDJHzSTUwXj6vWir+exB5vf0FEso6ecEfXedFm+7LrQEeO7O1DrjJoi
dAzvg3U7OL+ueHah3fDuoQA5+VjLPIlgOj27sb3zvZo362hximu1ldUVvI+lE8rK33cTsejZRm3F
kXmfq+i96KdbvWJCAhHjReiBWBd2tsuy6YB1wBL6xCBMK5Fd/bj+Huvsa0xG+VzzLOc+imLN6s6n
G5nLTZfNb6J2ohNqNlA5x6Q1FbsbrfSNOxPnKrRBknG6ws+uyBXsxjE7GU4jue0gO6H+tv0WNB6t
dU9wT/OqbT5b+jqHULbxEy5dcbAwxWWW3fWs+1OY4efTGRd1GOXavO55Na/aLkswjcCmzbqINqXe
iRMX/nzHM7G/Nx25PDJ0CmVYBzVE+1O/ZgaSebYxy16qlklCpHb3GXmguOtaozkn9G8PPo+nqyaI
uLTOeXUEBdTigth2esV5pFYkrOlqaJcchm9Bkm/yqdrTT9SaQ2nqBBtJhCYqG8rJz5a7yDfdV42j
9ZftIxQUKkZNe2PYgExYz4UJYVSFraWKXXctjCly2NT7+FcfYSnEVx05bV0FtrVmuGlVhDtSYW5P
l7DYVcDbU1FvDp43tgp/N4UOLVHFwcmFg1BjqUhFxUsVGndVfHyxMyOsVKTcU+Hy6kfO3BT33q/B
cyLolQqjY47JxwAQ28ElfLVKVGhd84mvd+TYJxVoh9MVTiri/veH+a8f5lwz//OH+RaXpPwTLIzO
V/32MW4QmXZ1YBdsHngWBJif7q0I2YQ2GDVwdX6Gwu/+JmR7v/D/SakZ1o9w9s+MXYf2Bgq253ik
EdXV9a/cW71/j7Cp50HA1rJncBemRP/He2tWYINOfeTdEOE5xn0jy+t+NGe6z4Wsa3BrYlh2TPp0
wPOKeHqsgCTMYRXQxYW6nrxMVncPL24Ok65k16UfdrwBQpbt8b700uRVm7scgtN3Cz0QookjNrPW
AYkC5UTUgdmjnAvtWNxh7D+NQ2Vklx5n/Z5jGu2oicHCCH8HUl6sC+2GBS+fg4lsMJG1+GVmVeQc
RYlwz0k+e2f6rV2ytol5WSsX2bsKnajQywcXaOE2AgM+bkgDRz0ETGrnj4NNo4xp3/EpM4OEGENW
7UWSpvPe1Ntr6HbHcXDu6FAzw+SVj/qSPww23lyV1B+m0tHdZOCzmapK26fgwq33RFG+Ws2+cQcT
aXx6HBLhgHykxy21UCsgbMdKPrbr2gj9eUTUKj17wwyXGivy14WbIeg595T7WG2Buztr4rsZeA/F
YH/qNhH0ruAfxfH7i2cpNAfy7Z7bL85bXGevswWWLBvFXl+CMWy4Dq6K3H9ocsPcVmVGfN7qaZml
5j5h77GUsg2LURyshGCzU5CegO+m7tdZuTFZIdpk+nwkQXyJzIF6sJXwmWSb+yqbDRTqjBzwPJmH
WRogAQf9u87Ckz90BXRGJ0Ka7XZE7t/ipDq5gXfqLMJ7gAR42C3BPRsvch0AVZsi7bsTLNtcnw6M
St7QSYQpFrVh3VI6K0r1CRvVX31FW9wVLFfRw/sYkwDGylw+85LuSVlJb++qZQ1eXhe04Z6LZHXT
I5UwyxCdwU1enJixXkar7qJaQ4wEWL/Sp5atJa5lKskRJk71PKQmgJu4P/Z8B3sy2pRkxG5ycGRc
vak2S2kfCvL+U+M8GV1/E/TiIe1B3Qq9eyzi5E7R5xB9h50Ru9oBJroFA669m73oAZv5sjQDbxGD
pyEFnpiqoZi5VkXnIVr2cx5pnBK0j7bRklC36ww8DQ7KYgQ5bhIngtjpODXodghsbzlWtXebwkvc
Uowm4T+U1rqQucIzjVe4G98pGx3F4LMi2olrKCccJnTvRD3H2OmBugSQIDV4A4S2kb61ej1u56C/
DVr7WWqJvuatLlfpXLjrZLC+IOAs4Ieru2EB/zJ4JCepD3me4pKWzG71mfxmjku512xenZFaTOhy
8ZnP5gJ73nt2RueeePV0kFVG9KA1D+R2rdDy/atEElNx2f1d6xTet2OT3orYZVI1uytyeRMnvLbH
xGM6PWUqsAjOZlw2WzdnrmOsRytsWsSqpnQfRoOjmd7qX5Fpv+pW/kF0/NCMFhj9uGeuQzM/7U57
7FSZvCiKx2LszY0Z0Aube2Mn3OKlmu2To1WzI1WykGKYZ0/uxUr92iPCqs+ggZt3ayTobzqMcKpl
8sFprl1t6jdLxniJXN5by3xp/MDaB7qCSATeeRlkGfp9gs3RcrnE72TqLJk/GDfuDrrX00bt8aFr
Pd/PejWjt2Upn7XWa02zvC+AQY4g4MgFRGMI5jHlqleXbF3rNxLnZZM51qdckP5Kh+GG1JShZLZs
n2UlpAXNZjsKTCv3YAZRSJN8aJJ3stGxwKpHo3MjJofJ7K6ZQl8zk9Aym7uxZB9g9vHbDECEmYBm
ZPmCuS9rDoXDIt2cJvV14Y2HuYhei3Iil6zZxYYEd7yaAHys6zb9cL2SkZMoXTZOGW1j25r3btk2
h6q2txnmXJh4br71fWQuPg+XXZk2r63vQNLUSAJEu4pFjEuigXp1KhEwIQ3aKgDStZ20kmysM0cX
tzSZNGtgGcXWFQduHMUi9XcdoIaQ4I++juQ8H5Nh+M7eG5uB4AePZs0ko4OSQhoyLtEDy+XbMhZ8
b5Autw7e6UpjO2MVg+tcOb08wJ+kO2z4hFEdEIh5cIyC5aSJpQDACf0iyvD7iog9PO/e1zz3auka
bIkBp3KQ87kekofSXGYeiEa+rS1mDoZEa9ep1X+4DdehAjF5N/k9JDWD+woL47SP8+TcC/NcojKF
WSXkrq6XE6HyKzbqQ4KxZ8kZemOlja4QUkSXvPYmcNIPH3M57yLOmF5AbQlAfphDfqosf95wqpTr
eKFWruvjozFkb1WmnfNW3GcxYBOqD+4mbQ0Gsuz6MyezGxe6ve0tm8S5sPklyTGFY66/1HBzV3IQ
N1EwYHwaugzHpo3WVZSdSp8Eezql8WOTQJYYoxcXcuPK5K0LlveL4NeLYzFkl/Q3teSlbMPWiBwz
2ECEZbevyB+HyhcrABzYVpp2WfRaD7WchTbuLAio2SnnvrW2eaY6muQDzDAglXTkPKIrn8m+HbLu
kUxVEDYZIp9TPhVzezOVJnbyXBR0luw139Bj0xknqj7ftdr/GidEYJcmGZTpfdSln74mt91Q9bsO
gm1X86PMjj3qqQ7e+lSkCIyDhw+YUbpP38FermvWPknIeAeie+pV48frzm2PSzcyjJLx7SnYBEhZ
VpoWXs8iMoGmmPanxZj0Cu7fvUhjfjIf4BIOkGjpkqHrUGTnbbfj5PbKCewgJoqvnHRWVu8eF6cq
1gPkO7fxKZOPT4bFL15PFVfg9JQxCrWziv4DEMpT7EXEtPHkUBjxJctHym00w8p45yQGt0wfRkAm
vrXjSJS6Y4dYq5tzLYIr+q9BaOGXDxrSuAfMgEtfsSP/w+yLmW5cYyxWjHdg47EWvSW0yLTSYvFh
0bL4Ixv+an5J6YBzJ90xwRXTUqeH9uBZyXGc06/EcMQ2Hv3bGS5Rtey6IENc3bVzGRrTla9lDyib
zEPasMRRJndpKhmA9TjIWMu75Y9bd4zffVdc2SYFLC3SE75ZzVtVmXgM5giKtdZle+Lt8xDPE+ZK
7z8aNVuPLtfkjilWaG353iQpKfssjHyrvpRuW8xrvRQuRqrtGNpTIqtKX0/cZ9tjxu2OmUgB41Qi
8kptvrDd8FrqjtBCO6qYt1u8UUBRzo7VqPOnyIBN6xrc0SAmdllpW81LqX5k2rgVdhXaRTaEkaye
ySJR3vfxE+QcG7BiU7j55f1ouzQaLLJqaftkC0rLYHT4m1L/CpzgkHj2G6Xl8ySQPROPnkMi+oJt
DN4hWWYjFozSWFGlm3ic0ArOdB5sHY80vn/qe8fZfAioHATJVdMa9iqv7XDqvRvZi9tg8K6U8LMq
u/TNCGZm9ewrOtecbqr6nWcL+VhGKrPS/9YJYR/7Qf9k86/cLalOMkP6e1sOZ7Ir2C0KbM9VYsW5
ZgzdqPzejsXeomK8Jia6bBvwgHYDeT6Tm7InZuIU1bjnc/cqGK2dNzs87Ehf7gfJOzo1+Q0dFhkz
G4JMxypi2y3uipQqcF9Ou4GRvWYNMKXkNqsRZJCAYeseoAVaq8CXN3APGzqk/W3hpN9J+pILNAjr
zOKmivUbh91vqHQ3tnnrsoSlIY63rRYfpV49QTM/9Il46b3+Wx1U9CqwCWDKTq53P6Fvc+69mRvz
VdS0qTFZtlYRH5bZWw7pkL/yB/yWqOUcj7PgJulrJI9Ce7WLSj4Vi8QDadLTBIeB8WIY8XOxXI+S
wdXGNZ5rqSOTZxcYmW9Z7RMA6npeCcFL7lSQZZOngkmDv9XZX41o87+G066r79UHd3e4Uv18+P6/
/++fX/T7fT4gfQYvBpdXFaodfr2ffWhu5RY3euqQ5k8MGtvgi9ii8H6s7PzgNPwjt8+PQH4l7G/p
AexqZV7/BRv6h+j6B1EWXRh6A5Kxya9l+jQOfm5ENlUDPTxhmKUZUsffN9nIo8fxbg28wpZjjRZp
y4aD/OgS5UTUDELSlXYUzvDCEer0wujvR9eIg6+RxyoOnRW9gbBMdeK6Za6d+Et30dEg72lsYggu
8dnOShbquXYkteRCAf+GMQBnwaHKQZPjUHIQVNnWmdng9dBj6hCxnAeumaBQmmSPswCIOod9zeoh
yzL7Jm4DkPtFxzO7GfP2NsbtbJDNZtaZY1+vMCV9N9SZI9c+HXKtu7+1rB9alvFfMxg09Eiqf+//
/dWvvu63V79pMQvl6tRSeJHR8ef19furn8Uo2ikOOg62xY+oxW8pDPIZCEw0Mi0dR8IwcTl+e/kT
89QNhlr+qYH9hZc/v85PfWAHKoEJWpAiMJQUE8fkX7SsfiBtzFrGeB70I+3rdL6rul9fHbCr48/q
T/rAECn/8JvwtwDkzC07ABJC3IO/7x/fYgYTbWmadfXZGoMU8q3tdFRDEsssrXNC3A3eUOVO2WWp
hOvfqPGWZ4hEZnbxdWdeJ3oxmcjT9bqD3t8ksMFJZbgsMC/C4PK3WOt5zs8RWyl5pbHpEhCjru57
vSallxibpfHuJtHtwXwg3RdMD4jeCB27OcIQv9X87D2fszcNs3Ko6wOB72fSfxzdRHIb993GN/OD
l/CGM6b2i3MsrHcxhjmEJIqfUP61wshXsOf3jeQ8MXhAE/kUsTri0eVz7OoHmO94CkZ9bKbyk3d4
wqahvWJS8jOqyXb5BUZ1pU/UM7p2Sz3wKuq9MQRAR21oZKy69vT3qSuPNM8LhIzyQRpkWUzzWztB
EzJF/5QVc8eO9/jRufZxttty26T1dZlMYxg0gBMcETnrqGrvQWDA97WrfhPP1jUD8eypdtYlH7He
Fzk8a6mFaQAM3zFx132z/0q9hps2LXditdW5rOyTN7b2piZkucqzJt27zDytuCfG6ynFOBa1Sa1Q
Qq+16+XJgOFp8e1cVYN25zCCvCrM/GEsAtJyfvaiNa29MuHgMmqQ3uT9aKxZ8zx2Gox83QC+Z/jx
Vdx/WGm1xbdfi2I01/bUcBrPy6dooUQUNWxbV7FxbP2hDXviHovnfNQCL3acW4LF9offFcB4U/Hl
FxyVYpthnaYPIGK7X7YY12olXjQIQkaH92u2CWdpf13FxVma3buRpiyy2EiAVlYe4B2g/sh+K3y1
82ph69hdT1hF0wPyA8N5CLRvMiYTouU9rcOkVTrlfTz1TVh58bAuI1YobYLxEuLWomhQgZ/em/Qh
IfH8H3tnshw3smXbX3k/gDS0DmAaLaMPBntNYCRFoe8cPb6+FqRSSqKUkmWVvcGzdyc5uHmZHoEA
HMfP2Xttyl+3fYhVqrNwEJ+IoP5gafGk/tONldHHyPa8ID4wXpZzPwrhPljqnT+UN5lpFVtYNCc/
se1FkAcErff9hzZKuHu6Etlmx/Ww7fEpFt6taPE9tFH2ZmqdWLVSvYv9hJoUQWGvTAgev6ZXoXyq
FecJww6jbDRLtqHRge49EPyYVUSuL2sDwU8BJzpZdqYsPaAMtCdHVytvLb9DryFi7nI3ie9i4sE2
1thHZ2F0t2Wpw7wq3nhbbcK4SNDkFh8JtaAFSUNi2dR0TuIOy7UMowfTrHFLIAerxD0skn49BEO0
T3POJopykU3kTmSzpMSSkeJfbhEDKzZAE2KH8nmVEHbN8X3ug2/tc8RZ2MVhvwFmxRNT8GxO0tNj
lduPgWO9hWpfzqgcSjqg2ipNCgxvww5e1LPSN7uuDtH1Nk9+Q8I5e85FZtoSNewl14xNpykXvCsL
ofj3eiyeKni2uabu3I63ve2ciYc5jFW9Gmlmeu7wkcIcJocdLeIK5gOWjHmMStWuZI332FrJoj3a
+F9lCXERreWCjnjHRIAjWYTA3VOU01DL+zR046WnV29VHaz0sn9Qqjer4U5shb0yTLxgcw/DLbG5
XofzOGoGRVmq7WDf237br8tS6vPIR5RsOUVdHGPDeExzE8HrWC7tNiOKKInYt2ZxbhboQjADrkFn
y7mT4NJxDKAmZbWSdffYdck9GKon8niNa7WxxjMvvHIlk/K51LVNII2PveecynE4uonrT24gSiz6
OwsyxZ25EiXhKh1T99Ykg+fgp8FN6PsvdJaVeRc3yU5yKMCuX+OCyegpmnXwlOn8il1wG4Z5tHAN
Zdu01WMDw5WWkpGuPIXhdsHnw2XEu4dAFvaARkkIO6eGOymopm5FRHtuGFAV+RLwDE959eC5VUOL
xSbaK2ucRZnUC1O07VWr1d2aLgRZVGibEIGoJNwnMAGgqtIASELrqmO+fQU7j/CY+lKZyHuEto5a
EyCe4r2G6N9mo9BuQfs9Sq2/8S0pNq7ZPE5qJ4bko3f8bq72i9cuU7Lv3uyfX7pkKqDGFQ4CK0we
P750RdIUFLtlc86BkgrtFDm3gk9tMcCPzIffr/VjFTGtBVkSpgiqC+pyzZ4oj99F/VVV3td6V3Vn
x1t68X05rALl/n+3xPQRvlsC5EOSdE3SnQsezIH48KD9YBY3/4NFYCcRroNPRp+qru8XqQL0AVHW
dWdD3pb5vleOSrv5/RI//yxcqu+WeOcSrunW+ZrZd2fTuUnL1ZgCouhOmf0cDX9YiQnquxvgx5Wm
T/LdFUuC1koFsvszdPiZljGW0LcNOO0WAd12RFH6+y82ffBv56gv9wByYlh4KgIcprc/Llf7UT/K
Wuswnj1qdT+zxa0f7Ib08fMy/7+zDXmEeED/eW5+Tp5f3+TPJ43pr/4+aUwnAx2IqsDRiNeKX+jv
kwbnCfiqHLI5g3/ROH2dmwN0BfZu8tOBIALpyl99Ncg7yJ80ixQoXf+sIP9X6BeOpT/cIZ8N8hZ9
f6IOHB4tk3P7DzckAPbWrE27O9VAiNjF44e8HS72FD3NW+GUamX0Su8xo/oxbg0CGOetoXg3jt19
Yr62YihvzsYp1pocwqU6BV2nNtbmUHov0idTok8wirZNdjHdxGdkl3vrrvUOzhSeHRT2S2OEN6Id
H4IpXlufgrb1wpz3OUGOsV0wtSWMO51iuQ3yudG93LAWQHLsvbJryLWawrwjp4nm3igOoELvTAFm
JYv9j1HlHEySwFWzPwVQx3Ob1yYOq2s9UNUV2ncGg2Z77nVe6ujxxQzoLQKshGoAtdc4lnOD7sMG
3xxwG7ph2hRPDqedQBh6sMtmKIylEXtrMcWZ4wJ3r7zCvCX8ju6nu2gMY9nQiUZXTAg62RubUaNr
T8qYMzlt7i33Y5ojxdQJvyZE3W7rx0ZlAl9EGDlBerezZvCSmWibYGb1wxu9u02r2SvbYJt11eDe
11JGr44yT5yE6ghutE+Ie6TbJ/ivxwng7+fyPlesl6YZdhjo1ko8LjgQz5kabMi/u9anlHjfEheH
K+SFjL2UXJI8mByl6V5EqL7E/Yj/RHU12Cmkz7t2d5fq5lNELL1ekE9ft5m5KhqNxCzC6zXeZpiP
srkYVTJj8E2T+7YbCbwvCL4vGmXny9hlopq8mUrwoW+V28Jo9n3QX2pCvVShPDZK9JqQGTCzrAGB
WuHbszHJnaUOeccehhu1oQ9Umu6Bn2nfRTZj02jhmZ+Yq1B08XW6Zlzhw6sWuhne5AFHocjJZ6rP
ESSi8Syz/IMB1NdIq2GeDf2z2dBC5iZHYDBh6Ns632tt8tHjjnSlwbkC5yPKjy3E+6tc1B8ZRTIH
Coxbq/LXfhgqRM2UZ01FU6fFbb+AbMFgRRmihRI0uO8JDACHEt9HNRdpzBTmKgEIIjPVLzWB8G6R
Mi1Npbus6qzADNH5R/ALABueQD3gxjOe0ppBEuGUVwHBdbOxNu+wRk3Mf+luvJhCMrerfm22XjhT
m85EnadFy2GS5xN4/ImMltrdM1OG/eMFXjQsycQsx7uWceRkm2bqRL2EQv+GUxBHZcU37kMzmkLj
mxvYiRwZOGz0HGYWbtdCu4kwPGTummzGagEriMTXTibbED/4MiXtiPem8ZS3VrQcRx63JOCWzroa
llyPagLdzhxn1YLY2v7GQaQ8xfCc+mD8qPNyImPFWYRhuVKhBTRxSpcAkcsyE06wmCJJOUcde9Oc
0XWej6rzEFoZqkMGarQKV6KuN6HD6RxVT9Ln5yRsVgy0wFMo1S4vKoiBbb01g8w/JthTYlPccHW1
NYLrYxXJc182d27sXkkD06jvdS8c2+/znOpbtTnQeyUAOKgEZTmOTGzCeyugX5CPKMYJxDp2XsuM
AQHLPA6SvdohNaLpNAfNyrygtp4KBTWIXipLacSfyEW+KyL7vijDQyLNF1r/DC5Tm2a9uxUNKAyz
DLD8lR1y8dpX5qqnvZDMenH0bM+Px3ggGjtgsvZd2pIFMCZGDbjOCZalg11wVMwFcxUakzEH3JqH
aeDRw7l6rAId2jOkQtD2l6hhF9C1rarZO3SV+9jiBEs7rJ4lDN6A66XED4RpMmtshwknFnmqyPpN
CUakk25JVlPj4mogZzXzXGXZAjm60jOi/HzvWRnSfRCPd8rAsAx0BuP6MroZkLtiqe2uigr9EJ3/
eGH75Ss2TgjWUi3meZrdcYjfBUXxGo6grHxdTW/7jACvTL+zJ/GOh1NlltgeXHwMno7nsG10Gzst
vIUnGo67vB2K+tXVO1TvacK9VqVNZ80S1VfkVqqTcwenc7YkZ6taVR65kx/0tKr/L4XQ/b9Ge54O
Fb+riA5vGZOH8FdiwukP/y6K9L+cydnu6KYJVnmi9vxdFJl/UdrQ8wQQNFnSKZC/tl8/V1IqjIov
U4nJy/5dUWR968r+m9ar+LEgomRWrclgj19XYKxDufhjQWSTAuOkuq+cNAUyWh1qc9Uc37wOtgmP
CD4yQ11ZWrSSg58mDOoLeXER8V3r9kSAI/Mlsy++j3qVId4Abr3SJGb20B5eLcWpkdp56UyfAici
YPGzSndG8l85bVama66Re0hyQju0FHWIqaZQ3BW0oMesiNVXvyTcotT7YpVPgRcd9CZcqy2hbzn/
X8OmNwcSSH4ANgSya4rNGDlubLvM3kYRjcsO3y/ofjxKpG00OpK/XlfJmiaIA+wnPuwJ6UlGx+AT
1pHa1jJwzfboTEEeqYz8JYMfg7n2EMyGKfBDxj09UgczLU/y0vH1kW2SgJDR6BZs59U5QgswA4GU
PLWONdxo2kOI7YPcjfjIVh8s4ENdk09FbJiuIbOOaLt2IdVL8VqFjMUdQLikRdczZwozsadYE3qw
4Tb7HHUyhZ7EQ6UuK2tKQiEsu5s5UzxKW2D65mdRTrRDh5mFlh5tmzGvGe+WNJtmcZv31+MUupJV
wDd6cljyKZDFnaJZvM8pLUROhytFIQGU3kJGwy6a8lzklOwyfg556XvTWVSfo1+iIBipyBBn36AM
LdbtZwA9N3a2IU63XacVoSyeUJxDaHbUdrXrHWJaHk520MrGu9aa4In4cUbfmXj2ZWrNuirRaVG6
T7FW+0uvLj6pLsx+gIX7xAtoAUfDKVHjnO5y+ikYrUVp+PVpSM1hntomwDvpkHpGCTw5ijeyLe2t
boGUxdZ0w8SLnylN12bAP1zpzLXeolAxh053gfEVHR+g1huqCdl2unkgN17ZDlSNWm4kxtn6PCXg
JeszMuh5neuELy/IFaz3IIzURcONdsJmLVaytMqdMPN8oeQ5jviOFGJnbNZGkHyYGLC1Cs92IDJo
CxXCINLO11YW/k60selKSd2PcPLIk0iv86a58xTjUBW8AZDTFEfEpMNGFzKa+fl4pViwdFO4t7dq
5JFq7LzVSr8LE3uHv24/BLm7tCOgEv2wFMzp+c4nZ8j2FplvGLp3lhbuUyyo87CxvEPmFNUCEBHJ
yoF/Q+ywz3Aj2ciovYpLfiQnsLdFN3FggBjN9Nh59huUS7UIT32b0yzO4IordZvO8SvONZFs3Npi
vi6fU+kgwOFElDufBLaKpk5X5LuuaIgBEwI5y8vuUsChDYpoY7cmfUrS3jRwN0FtYf/rkzsnUU+6
2dzRLGb6CDdMnDzQI9i/x09FqV2ssdnYdMgMAsFFDfdIDXqUgPE8atvnQBhrIdtlRZAlggLnXMXZ
xcn1jy61FceeCS05XEwFXUVaFgfI9SslNucFv3EaNUgRNJIkU5IFETPBe0pfx2G4JTwxpfCNNrIJ
zmPen1KGDARcTbmwV8C/QCuwfGKp1wjs0BUMc0Rkm8xrFqT+4XpX1nRfr2yBULOgVq/6lWKpE0ww
fBXOpJcurhTiG+LAXg5FfsowUWK0oCSvCdLCj3bWYYGGrX/Vq84izZU95ztizMPnstFnQ9zPSdD+
pJv63JO4zFy0dHXyJpO33GsuaES4I1Xqb1r7HRrc0l5UOBXQqiPgkHPTQz5BQ6jCT2diabH8/mL2
7m0SjfoC1QgZO526Tk05dyFKziaGDwO3leOSvFyGR3a4Feknc4JvF8KBbelXwcbQhis6Mo+qVqN+
cm6EKB4B1198jqVN+jEbirdSpSGI/2hmG+EqFAVFCrI735xA+TTNg2uy2w95a1x0L8U4imxYqgA3
UCmq6pXitldOpazUILmJkFXUlnYn+aQ2PVTUhsXSU9pdpTYrHsVj5TorFFdb7N4sWC5RXvfzPqsg
D3h4FE39FR37I/8pE3Uz8LLKhAgVBeXCJod5yLrnKqsAWCo7BOqbERxqPiBHBolAo5GXRFBQNKMQ
Reos7LVeoxBpsg81oIOhsDe2Tfc4gHKZ1/IqIy4Sz3POxN1da1H72En1IZfRJVe0tWf2yLJITNXc
pQ/oy64t7k57jWfrOsuTXTHCh1KamyS0r5zeO3lTuoyZbjmNHIKcIO6soZOdIGL01A0PGNMX5zqS
7p5Iq6dCJCRrA+hGKXHnSXFdyeqUVdaFaBB15mjVTQMJtC0g4smxIZU02SeWvwVbrUK89Q9y2qjG
HHhXvdOlhcKRERSo8oijQNVNRU+284rsThbDFkv4TtGR9CDy8l58nKA3VUXu86jXVKZIpKFxoOHi
xRN9xM10F9WpvdGZcXDwrp/Qcc10M15EIC6Adn0UKZSwunyMZbChajux34ZLVcZrrat2BMbzXKLa
46CkPQVWVaxcI75NQefOyh7LlaGdo9iJyOICHJ5j36JdfeXFYt7pSkpadY46h+MA59G5NuhT5g2p
PxBlfLGOvH7bZ8PHQgEsh6yqlhYjJcClqUfgK0CYZdP4SxkokGmoEOK6mXNa9xdgO69axfnYtvA5
QnWNDXzFeGcJ1Jv9p4oI5u3HVY/PlkPPTtbWbW5xRpU1yQ1MemuiPFFeKdtMZ4SlJjynWBS0fJMo
9WFUuqdKFq+NI5d+hGHJS/oDce9ynkLn+eIS+sfZ+U+NdSpETm/ChrYA28l6h0jgwCtlE2bKSU2v
wiie5fFFCeI/dG5/akl/XkTALDeIOqP99GMZijhVpbWmKafeeZHdumue+pzsr0VKytp3FfovZhK/
KnjpNv690ruWdO7lg0Y0snLSGfObE8KOg/e4ycV91HwIQSX/frlfXj2eJotIhKnx+O6L6U4O7DjJ
/XOrfKibXem/Zsnr75f41TeiWqZYZhnjJ+inJ8jJc4ciODOLjro1QSzLBGlZ6q9D+Ld6/Yehzi++
EWHZHFoMbgmasu9ODC1Cc31Q6/AcAgEIDTQ+/rqI//CdpmnND518QrW/X+T9NIfwE0t4LBJJkJxw
cmBG/P6q/elrTP/+u9FEW491K1GUnWVxEBOvOr/17PAPi9AJ/+3XePfrF/EQF21ahedeIfDKmrvh
mVAoNrgnuqSiOukAIf7910L0TfiihdQHDu2PXysOnTTMIEWe7fK6VH1Yzxvb+/Tv18AdJ0xhcB/g
Tv5xDQ8xuAAxHZ0hZi8JhbGzfN4ld79f5FeXDl4LAwFDQ5vnvlskxz1ihyEDe1k8ZWKPRofNNmCO
fBM1OxPRbedd/37F6Z56f899v+K7HwvEpysLbYjOak+0dfXAeOMPm4E2fehvS0xSJ4vJpIY2nk4A
z+u7zafKTYizvZaeoz0RJhtengfSSZfWdXCx5ihXVkyiV7//Vj8u+fmAz8b97Tq+WzIACt/XRRud
W1FxTCbxErqMnl/9fpVfXzuTSzINeoX17tcSI8ObOlWjs1e6c13bTSniv19huvrfLt2X72Fq090G
KtC239/YRaWjtCLE8mxz9IV0RrX5IYRS4kfRH77Lr67Y9yu92+AwIxDtZovorFlvgXNteTfl+Ift
7ddLWIIAH2DRIKV/fIJCmueOOfrxOctOFtLLHt+w3og/vOp+9Qhxs/29yrufPpZtAJqXVcL4NcEl
YdCQNVdW3Mzj+qzE68T6w2/009fSVdNGZUfW8iTne09T0l3PLlI7T85A70r5AYxzOV5+fxv8dKO9
W4Je2vfbdoZoCRF6mZzxrRH45+Nrsv5w2X69hOHw1FDw0Gf7cYmo71Ml4aR1rpJXZdzQ/v7DAj/d
ynwHxwT5TUmDkdiaXujfvXrYOu1Oy8b0TJ2XNtY8iDZT5zxz3z5fq//MqTV+9X+eU2/S4k2Gz8nP
k+rp7742ZTWEr0JHk6JZKAkNk7vga1NWE39pqtBsRCufqaP81ddJNUJag/uChi1/+IXh8bUpq/8l
2Jwc9OKoWTkp/yuHN45xboJv+x3zccMywYFgd9TFJI+d7tLvbhKblKOsV8rh0BsFwEMtJlTlUNhw
zD+p45hZSAJrtUaFZoSqPTKti+OOrOY+QmkjoHZ5Or4NB4rnldRae4Dwrb/SxQIV5XrPUotvYi9O
z6QboQIfhb4yLI12rqlWh1yIT0HBFCROAU1o2cSuaRoCJyoIkjVUIiCFmrUf8U5slCypkaXiWxzm
vcDFHUU+w09iXFA9uXu8tPHOFWG2qIpuWEmL81ddEtCUpAxAUlfDHYyT/Wi2wza2wr2T194uDZN4
FSsuLg8XsTwaUEG/IbaGVe/awcKokYuVaBHnGiPzRdmj3CqdJluopvKUoDIqRJ9t7aC51USgIsrD
s4M3qJj77qAcZSRe0cQz2mJAvga18WmMog80Whm8m62WbjqPBJDCjIY7fG8eE9fg4BP4sWmC6K32
R/0JeSaeYJoAq1YkdAdoXwINnzAfZA66u1ZhLCg6VdmaRa/uLdhP6zDQod/LRuylbV87sCxv0Cxu
umC4VQqgqbkJqUt18mtbYGB0PZKuHNWEuJKjNh5je7KWMR3rh1jZa0EzQadkYD21hY/5WjViyFaD
Vq9hjA9Tz1ZKIU8Bv10L/j48DBra0pnia6SXk3mhdi7dOoWYDHp2ONBJFLU2RT3ot4reJOEG4Ne4
lW3mnsJ2KEqmfg4mKZeL4J1c/FL4lUBQtZob73Ws45qfjjdQTwjM/s/u9VnRP2nP/3n3um2AfKQZ
W/17P8v0d3/vXu5fYBaoJXm5Ww67xLfdS1f/Emj8ydbSTRJiprnR193LmXYvw0FW9sUGwJ7zdfey
/xIc8u1JFsYgYgoW/BdjpS/13rfda6rWTFUVhtCmSpft691rWoPBlip5mp5GK9ii2ePZAlzXx0BR
MpTULWGEcHeSg1nwrHOovVJxuIc4vIJG2ZDqx/hdv840PP+Gtu2q4jluzCcaLnjX6kM/anvfNa/G
AD9MjPV7Htj+UzUk163nxUuRps8okwR2MoS0HiLE+ah1yS4d4MgkMfhGJ60zwLQBjNDc2WdGenYC
ZK5uTsrQaCtz6cYv2HBXhqedgz4/FRIkT+FGj53G/CnPxMmxygY1TmwTSs8UpxH5R5HnyB36gBl8
YCMUb2NtYw2ka9T2xvDSW2Po3wZzPDD5ekm86rYbWtC/qIRy0ewEytZZ3oqTldvbBKI+ZnPrzmAo
M+b1hy4Qq6qVLQ0gSEid65zJ4CBOKj9FXXyMumhVKJo3b6wuhEiTKDNNKg8uIRU8vIQqWNE+kDiU
xwItsRvXG/p6VB6IX1eAmxg/RO6HHqOp1TZ7s4HBUJTXuFxXaQz1w9ZOtuWuGqO/ECQNhSKCB0J8
oaFBHEqUR1j1D8JUV5CXwDK1nXVlJOlLODR3hQIsIKXjzUw8Og4tl66MCWLsvR5mh0jvS5OEgoop
Id7bHAGADThAdVZe59Fds6DDDk3LUIJeHDUYzeEqWdRldt/wMTyECfM4VBAPdVj4Q3yb0mHYoA67
suV3iCJ0Q5EKSCEfHHU2DMYldPJd13kfzRLacCjErZmLi0JpMAcht3eRJ8EFsIN5UOC2DmVwUSxv
Y0W1ubdycBZ9Gd2SovDqqCGDsvQ6DeKPRADe+66KEVlHvO/zpa4KTwOwoXg4fPPen0MfRQY9qT1s
bw75OV4VYbMYXcS9Y7xWTeYsOpS4rGFco1fNGySwYmGKiYlgF485wElXK5J9YHG1pwRdVE5oIbIe
eY1RkQmtTEbdkSyDmdDc4jAO8q4cefkXDaAsNUKpFSoajDuUK7SjCYmQ+U7N+2SvpWSWONVjKOw9
hcgla3MyyUMXDIg2jiBAItq/TBlX7sBYk9yYD0VW3jgtP7wFKWawxqPaeCiHFG1htNbFLRzCWDyo
Jtg7NM/b2DFgdYubfgZQdNWPTjKXGlENuh8ji+44xEWlbOfKODz7xgj6sGIemXBFZ8T3bmu4K2os
ltpg4+VI0vAE65l+lp4uB/qP0Qx5Gslp/viswMaqW4SefXsbJ9qi6Z1zrOsQO/zRpL+L5tkIlfvB
wflRJ/ZyEnQEQyu2SG9ojmtAJhoLK2emkP3tpcOWoekyLwoS3/AtLXTFfNP76pCoyqFXa87oTNOW
6jA+52N4NRS1Nc/FZD+2MYzgdbNngyRvWC+7G2ALOeozMBWe7nMqNgSfp0UI2DXcgfzvn/QECsZg
TcAsjMIYrpVLiSW3SrklTJGG29y27wpZHiuUtDOwQm8IUE42RmT6x2Km6ARMkpairwQT+kAd5d7T
1DXyJX5trvgONiyY8Yy7qamzJzNN8lWusAf7oYNCv8X5kgz+lYdhmXiu4bkUIfBatkYzpqQyGtJG
A/MALetUTWIgxj3OYgiNmy5KCT8183NZqetImrfFyF6ZazeaDymcekHO1Nx+ZvK2JZN4q/PlFl3I
3Anh951Cr2DuReHEcYVwLi1uavIqn1oxPsm6vEDwAHPOcZWxPgwvNjjG4s1N4eB7l/C0GkPJF45B
YkWHSX5ChL6QysZWgaAmcE9sdGu/ZEynm9Xt4HX3sV4/yNIhxzluHkyXlD1N77QFKlbCU6uoXYQO
jTnqJqRlfjnMErwUsopuMgaIY9HkCy/Wnrq4B2SRRCsLuR7VE6hYoyA5T+r3rbjuqu3oPXbhzgyM
a5AYM0Jw7yMlvQuxAQiNAlBkORLCHMdHolVXaiTeNDb6pda75zbExlOS6MlkdyCZXYzhEnMDmdCm
CbCp21dFcmld/cruE7bfEDrloN2ADdkFOcPt0G8e7Ikfr5b1tqyPrRhwgjXhzLf9szkYIYY0N1zr
KAfnlgwfiCZcJ4mM9pnC9j8q8uAOtrJqERitqKwxCMA2nFUFDFogTMuu8LfWJLuskKUh4c59t0Rg
ZeiEDeVvwJSCQ5cB2JtmGpb9EOVpt5Z1iDmjLrFaaAFsggBzNBUrXCDfIQ4gZAjG/rX16tE9aYYk
jGFUSPaoanPT2sExkYHjPDfmMKzHCVfPUWRC4Ypo5RI/kMK01wsKVhj3AtZ9zEGboQk6KEWaiPlo
QCyHCY4PNeYqgJZvmpV/lQXqmzEQFTL4L7xywCsHPZNQZZFC3Ndjla/OZ6wMLV/EffLah0CXyKVa
62qkz2oPoUvmi8egT1tyV4FGdSXqM63KqZ7Rx7UKKXq22Plc7OKlVrea6V1iUgIUAiGOobRPRtF7
TNxTbR4n6h2Xn7c4KQNFH20JfWMqXvbXsmLY5ExcQsPOVlmvxnNGdcUiTIopkKZ7zMh/QWB8YwG2
Eol1l7rleSCHfSbGeAN1YCXD5NzynEBF71daXdzaufnK5nqu3S6bJwG3QAgaAi/kig0OjqgJbc/V
qmM25S4QWHOViVpHbpeebFcycveCBmB/PCxlj6aRfX9KooSRIkW1TKd8B2A3hCjl+vNYAetIum5t
hxGbM7EQFLmPkpiI3k5spG7KUiNAAtneE6+WFVqLC57LHU/ula1jgiqJnijGisjAMDl0Gq9awilC
r94xO3lAzfHYTekVFjEWFRLifMq16EIXtICC7NIl9ALAXjZHw7QZySU05aH3/VWBdXHRkJMRTIEZ
QhF3TdEexh6IVBa+JMRqlDHGycoY9ihDm6thyt7IenFINQdZb8pGSDwHoAixKAnsiHN93xHg0UxJ
Hv6U6SFG8RB1aUoehToufBw9M6WT+gLi8YgK3CUkzNQJi045HZMwZi6dUV5VU46IVKMXu6OGcfrm
bBeVgTgFcrjvVtU+LYkWKYkkSaIpLIiQkhjK1NpNu4iaE2cmxqXEGc1bUStbAZJ2LYJ841JtoVSA
lANYoeXM/aVp9Z9mkqb/7ji2yYZfoAKnv/n7KGb9JUx81QTuOe9QgVAEwdurOkeu/073+/soZtN9
Iv/WFjYnMhdfxLejmEVELjZlNi6dcQHt239zFCNc510jiTMgmAI+A+kjhsHm8WMjCQFSoTF8ro9p
LIJVnifhos9TLKjXg96O0FlCN8BNsDQZFQQZrHDI5xaKE8LWDR3dw9zknZ/sSicsB84bjoWw3EFk
Kq2Z1ouSOCkrCYy1ZmMK5ZxnJiEhl4oXtfpC8dw8+zBK0Zhnu2lcmS1sQrTMXW9ZiMN4XsuoerZH
4ldGREVktkBt6WWLeoNYM7mOqsIl7lsNNn4vOT10nXlX5szqHJLtyiYnU9CMIxzJZdfuaNsPzPXD
7Gjzqr+QK9q9qBn19KaNAv+lNWW/Sio13YciznHA5t4xUkjEbpUogENHQYwgzxiuNVv3NpCEukOc
2d0RfUa9kLDs8g5KIYwaXT6TcVXNk9rUm3kACGkTcEy41bsS5E2QWa/OmLjrNkg6jMOkkVEorhOQ
5xcQ5QmMcmB/SaP2JigqBHJWXUOQE+pwlKqMVnETVSuz0AoCdatU63Btk008tvVVyR7D1lqAsEV1
r38wxmI8B+MYUeLpjf4CZNraNWXlb4Y4qh4NMmIX+MsAUhX4HUcnbU5NE79ySbNNSW/hRkOWkMwj
VcU4wmZKfZcHx4EI3YU/WOHRCqtq7bqJXEaj6xzHEoNhCowefCC5w4HhD68Ujsne6rzqvknzZlW5
UQa0NNQPCAqAyougileDy2lO60txjY9YWdGKqs5GaBQL4DP5jlEmCp0q3oKBGpcU6c6qtIb+U2cG
yZVTpP62z0OTzxbZyiH0hLpNwyohfnIAhlfXdNTKwcnWhU/7wGQ/RaQnOW2NjCK2iVTEPW7oh1wN
9L2uOMWJj++h80rNQ5XrcLKkVE/DGPQoXLpo44egj3KljnDpFsMlkE5Hnk1XLoew6Zd+O3qrqqwq
/z+Nri8Almmr+edG181z9n+2OdK0MPu51zX96dcNloYWvXY68kJ3/htR8bVTr2sQVwUHD6Cr9MIm
g+m3XhfYCqTNBsMoApenDtS3XpdJ6vyX/xjRH/8yQoRW2w+NesLKgcoL/G5T5hkd8h/3V2QZBAiZ
gzwN6E+pRvRGg7KYZU5EOFSQnUJTHMKAwlZYcs1Ga12XA76g0VcvhmdeYtm85Sp91r4PNigXd4Gt
rVqMQhxi50o7bpNMA8StLZDiknZtgpYujL2acFYwmvSomzRMfHtfBcoqH5RrEQV39pA9WD1YOq98
c4iwkJrDQS/bxJxmAugvPJjAlZzgXg4EIpnqNVmMxwZKVOuqR0qrmvjxfi+QaltSo87y7yxQC9Cm
o2Uiuxf43gePxIRaGh+Aca3but5mnoA6R/fbLI9eEBxdKlCX87ePub1BvGjk5UH2+oNtAq3XtKM7
DDMlpn+lRUdUb0uKpUVZ4TJX2yc3rM5B0Bz8bpgD1ua5bpZGIo5SB/zvfqqkq0/nQvbeptmyNT17
jCRCYT7AGtsolbtoreoS+CNM/IjUavahQt4M1VAxHQlPvgVmEbiFFok7C373OFSX1KlfMr0/Ql0+
Bl75X+ydx3bkxtalX6VXz6EFbwY9SQDpM+lNcYJFloH3Hk/fX1C/6rKoumRr9VSaSSVWJjMRESfO
2fvbx8EU/Zl+nzfzlh2VpIHqBwyws6Go/hI4Oy3Ur62IzgSBKtvOIstLzzgueovO21wf6iB91kqd
ngiG15jc6qy3iJPsjqGae0s47Bo0fK0lXSfOtFPk4F7P5ztmHb5ZxMoKeCnWE+w2USDXrpXXp9jO
BDeNO0I294EHoeTZGpxmU9XTxq6MnpCn6kFVCdGAMvvC1dAJV00TyrXfYi3HyNLaTbJNnCLada95
SfprdlKim4W2QQQTrx2amN4wtTtAmvKmrPuMzlJ1nRKUugevNrhtjRtL4W58mowFWCX0t1U2xSVK
8FD10CAm16qiblIVnbTRhdukUFrONwdtaawsLjDFxSXimp5cZdV+Z8sJmJJR3wIfM7zWnG9ifa69
zommVaCZKZQCdHBlBZGAFIo7m1GXn5q9yMJUr+jAVN6S/BgJB18Rl8vcIvhacsMHFHGxqMZab9Jz
3aajl47AMbLge7zoJ3IVHqSRnzs1fYfyf4abUlc0JzWT+NK8vFLL/B6TAay0AVJXYJjwVyKhQKz0
lzBEty835ExWLY1fWrhc62gaWVPyzZEY4A86bp1hQC2aqvb3sHKeilm9YwL8nfdPQkoptxBiNDLw
KnT+xDtUnlEAJaxSpOcDdssqazzIgRdDlO/tfLzXp/lHb8n7xLH3ehnFEDS5i4XRPT0wH+Rifaa5
Ua+BxxLZ0kvmqcyCG+jOCCKctPVVwY/vdZpfTJofxwTZfFtDTiyFPVBw5y1BoE9A0QdStkkEm95Z
BuKFGGNlYOuZKb4QLvEyCZ59I8j2i2WCf0MYbHEyh4J+r9bq2q4Ir6g1dRMAyO8EKZ9tiqYX+aMg
SJDCxo9zqPGXS/rXWHD2TdQnTt+9SKBSWhUS/xTIHmllD5RFgztT+S1qL7u6wPcLjr/ecUddmuo2
GvEnygnitklw/6cgeNREEkBQBRbPl7aGHYlVjLkBTB6SA8qSZYm1pOXtgcKVVQIKRdJAb8DUTWPY
LCKEIF5M3tuwr4gnmHJSS2ZkrzbBBWMkn6NuuC9ked+JZINMcnAMYHVcUbsd00i+GYlBMIrolh4l
vhICEgp08ytbB29rEp4Axpfwtjm9ayIdd2IOjjazYOvcRFFarJuRgFxXKkUXsyYvT0LctNM7Rq3Z
oK8K2ZY28oJ7C+9JDM4vL9dTr+4JAriqBGPLIlDxKi6H2P136PY6dFMRYfz3WuT8XD3/vQgRP/Oz
CCHe3VR0A30LIy1kb28Gbkz+mcPZ4BpkoYj8pQgBOMfVi/KEkbdp8VN/FSE2ofC6w58w4Jdf7fD/
YOBGofG+CkFBriExZXjn0DB5lRO8kQs0dZvrxqAuF1XFJFtRO8LCHWb7lTHfKUm9CSL7q44x1mM0
8ELn/ik2J+JkJv3QGkEmwKt3zlAzK5pPxkI3z8CvoQbYkeQQYGmcrefAvsRKqLix0qvEJcibdHJO
o2Ycy7zc2KGzhcN9kci0+G0aUm4Tinwic7wxDa4GnaZ8l8ziwJHA9W3Qw5NlAkKX2P9Wdm34s0of
vpYwGGjxTjZGy61U+96qtMtWzS4MkN2rvikGVOxDdp+a8yaYUo3WuXOVJeFNOKbQJkV32sBWFWbE
rs+dTmJmmJyWpa+ei47XgRC9oeEpNpbQlUxlm0t0/sJJaYi5GCO/c2K5w8JR7XuZIC21Qk/RQxLw
UgJe48yg/5i9hH3sdag6V5wSm75ukGmXerKZFksERXC/HtNtUxQ+GSkO+2DkNXqm7NS5PGgybG8F
sG9QzEzghQM0SK3jmJal64zmTa3E5Jdy1LkSwxi28Ua/sDNzV4y9zBzPoQHXGtnOtpyzmRLyXRSE
bHfBUxvat4mEpSCWtK0+B98ZzeI3RWmPTAVDKJ5o9H5grWGykrAatEzhcvl2ttlrrcnYEUU6eXpY
XStKtsXoZbkRJHKgw23tElEXIIAayH2RU0agibOOi7b3l4g+dB2QMWSE6VfmOngSamXAtLWo105N
vbkYqR8ZoHAlWYk8qVNkmn5YwylE1RxHWFBQHUsGJ4lMJx8C2q4CWDQJI//ARJmJmpWQNs+gctu0
YQmCYbSlPYqOb3CPK98OUme/VFHsKlmza+rwtpUZBssdjWmp6ty8M/026g1/gM1FpHYJ5LgR6IEf
JQZb6ErjQZ6Gx6qdLdqnZAqoNUNBzYHmG1SklNgycpfl2BfTMYeo7DZ2crV09sCxEm660TgVi82S
kO4BhnFajQJFgEmQiJgLEsg3bP1rI+ZmjuWOGiltN4mlHjMTC6TsdHBFg4tBTu+cieM2Z8wYqrWx
IQYzdxOF6NgmKdt1HBWMsdMTCcV0fcPIp89zKjJn2xkDeltL+kZm110pzbUbSiHhT6r8TYur+yG1
PSkk4K7BlPo8NIYvKdIXsBe4qjr7pE2cs8psplfAsZ5Qhh5axfpmLe1hNqrzoui0sRfcxKVxMUHl
PRVNvslkUgUqOtwaHWgCN0kIVqPrIeT4TeP5SbVuU8nXZ/tQxdSSxJ+TIx83blFJt/HAgLJLsys8
oZKrlg3mcNzYZh+4TCAuIwPPoUnynzYGXh4nviSZWxDMJV33BKdYg7mhSamgI+cEbACnWHrB0MHt
QRI3KtaPwZrCTZovT44JE62jM2GCviMBjgM7CUE21Md+XHZOFb/gCpRXgUKCQz46qypObrrMeHEa
irZ+okgrauueSDHayHnAIi6pRbWo8/OavXDlLNm0aQt1zv+U0//bVxVW4v9+4h6+N7+59ouf+evE
VZCk4NNAxG4xxJaFAO7ntV9G/aJzGpOlgshEHKt/Xftpnr6SJBXZBgeFfvM/J65OX5XkFhmcq4kE
G9DrPzhxrb9d+x2gVvhhUJ8hE6UF8e7ar1QhO9vSna3WanHZxk2IXVLNPIzJzsYa7GfyJcd1LXLn
GLolurTPW7sXaZ+xmnyJVaIBLqKg7OsdloCKld8no+xXktFblxV8vvGyGKtzpaXxLSxv7KqRhn8y
aRdCSbMoedIygxZuMeO+kAO6tSEQL+6aeMRicCBLtO5ee1W1QcDdTg+kPNF8pbOy9ksemQkctylb
VLDgWm8SmLdWiylW9nk+LuVNuKA0Ay0ZJDD2ypBIRy2UvdiCPz4Nnek15ZjAVyGLcxR5dENqKv44
1cuGkX1zvwxRr2xTZzYXX2v7GbWA6pCZmPWAyZEwCphtoVcSOQoVFJt+bqPSq9QSRIUpXK6Q/AGV
F3O7Uaoo7W5SLYMYYiIVuphUM1I3tcW/z2FbPi6jyEqt6jBF6jBFpbUjNEWT/X+L4teiWGFNfbBE
MfC0f6+KxQ/9XKPOH0BgDdYi/bS/rVFNMdCAMRthhoHU7K8lasKB4h+LKQe9O7EOfxbFYvTBqrUQ
tRkW8rZ/NPqwftW/A3ty0OoS4QRZwTQJcRJL+E1NrASaqNQs4xwtktbcERaU5WDJ51zxokiiGWEn
uApOrZ1qpK6ZU72Rx+xKljTXIYkEuUEMlsDtLDkAjm6bLSHbZbN4szVoQjTSsqBauMrEPILhL7Ny
Sa/KPH3AVE5mLsSfUe2AVmrn2SxqTy8wLFIlMpmvoxeSVgl5FUlLVMQQBmTOeEKYwLSmbq6mszcS
0BQpwSPdeiKbSjkhjSJ7jXJKycN2c9IFsIQ2QKEJFbcm0y37uStOujSb2xkQUKzHgSjgR3I+C1J5
i6F6UckdD7moup2ZB65SFet2gj5a5sm2TqQtgphuNTXFi6w1CRMLTLCLjoghlL6qp6qYTyXdkElD
MEXOLdioLLhVavsqL2XfmYdNslwpnXk34pwx7dDXyQ1xTv8uxD8X4oe30+Nz237/3Wn55n6qCMA5
niwC3jF4QyJ6c1oqf2jiP3MzQEn+9rR8xZgDZOP+iU9E/qVJ7vxBV93kb4TbyHpV7X9yWjK1fH8/
NUjDhPum4H2QdS6+v65F+ruTxBobL2aebFRYQ4BOoLfIKMAZHBGeEBy6JQ01f6YHnt4rvSLJHod8
3O2qJRax8Fwqj3/2M5NJ7eChj1VRoqMo4Kd8FWG5qMqrJlj8LmwgYTAx3E6vTHTnlY8+ty1sY6Qp
cNODeVkctBqvQHVmlRxItQnRo4LyIdDrSwkecWX13A194CjN4pNvnivk/77OrVJl08upTerFEOrG
XaZI6DMtcCMc6hVxGabebStpwPuuzT19SpFKHGJBl/0wTIAtao4D30okGKMTJMs4INXYCUdFwio+
D76UMescRP6xg1tsJefI3Vjqxgt97QhSG4nJ3Wt4slGTSGkQqGyOkk6Atf0jKbiSdXmY+1bFn1US
Yk1p6Mk7EOnMUVi13MBx0YUxXBSU+yGCQPKcZYtkZ1URIc+5yHtuZElmg8MQoMykQduNHhEQTJCB
IrKiTZEaXYn8aF0kSWPed2hDF99TazE2UDNCnO6DvmnLDof2axp1aJGzZvTZZSrDJYZBhYWD9Oq8
rkcQLAiDQ1v7HrVkXLOj8ViI6N481ImLK0NrBSnthT5BuDWXrHcVkZgdNc0PawyCTSXStK08GVpv
FBnbWadaG2ST7R4jc4J6L0pOvGdocSKfW/SDY5HYjXuSq6tI8XZEnvcokr1bARErx5yIHpH7PfbE
jxdLw9u0tcdMpIOHIie8aXRuESP4uFKkiHOBwgFbkiwON62+AoWMTl/kjls0iFdItWrayCKXnIFj
tgbdT1Y5wBAuhlPlT4rVw21qaz8Q6eZcZZGCBUm+/XfbfN02RSzjf69fbsqizH/T1hM/9VcBo6p/
UKDoBmWC8T+9u5+XDI0kX9Typkrp8Dom/FnB2H/AtNVB21qKrhn0BP9Twdh/MItU+btERxCV+T+q
YBhL/rJtvurooTLpSDcsmzai+q6ESQtQsykhRheqRn7K2kBA5Gqa2X9tkt4f9HRie+CyKgVcWxPF
uQ86VncgrrQUWC9dnt1Y4rLLPcqDn8SDyz24l+Rdy704FRfkRlyVQSDDE+P+DCjhaRQ36lbcrVmf
O2K5XG2JLzRUCjmXcDrQqMu5lffifj7M5MZarb0tuLovo+RZXOW70WRAz+WeiQ2i53i8VrWOqR73
fyMtGDaiSC5pDUiiRxCIbkFN2yAMTARPjxn9hFE0FhIjuW5Fq4HWJjdy4wDaIEOKUGxm0ZaQK/0i
Eo0KmY7FQudiKPqD3QbfKmc8xKr5RBhmegWoHdx6EZxG0f4IVenLSD+kFY2RBrnIaqRXsrTNfUzv
hE2KDkml1WRbZncT/RV0wfwidFzS1D7NogWj8DsE9GTipXpuRZNmCNDIj6JxE4kWTkEvJxBNncbO
72a6PG0/PkHALVcp/Z/Jrjfda0Moz4sVSr21Ta+oDoyLVDSPDLpIvWgnzYtzn5ho7ukzjQMKNNF4
aulAFaIVNdCTsulNjaJJhVT+MY6A1gyigVWDXqxFSytNu0eDHtdo1uipRdeL7heIshBOXXh2CDz0
CjpkY9t3LlKfbRvA8Wnpoql002TRViNJztmPZl/5XLm+FaF1Ewbzpk/Hyc/LfD+XqrJCivt90qvD
YhZrk/Ea/21blMxX9MG2/VKN21WUdLjEk+zoTPmteSQnFJuFxRiINrkXaUHkWX37AyLlliTdjTnU
EUGFTbjmfzwpfe1XJW4nOQXiN0jtjTKgCTLSL/qsbJywB/pvG4fXaMCuLHWvKPKrPonmNcO/td4t
mUu4kT+LQS3OZdtNl+YEDb4lJz3ofHigGzUsDykaoMwRSYlOc6Wn4z6JusSNGgQ5Dp+9LgoT4irB
0gM166GMPhD9p3nRK/TMFPwztQIVxu1fcNHkyqmvCYYHlqZM5O+BT0spD2gkBz/ScPoeGLjKozJz
C0HqsIrpvjWbly7t61VVYgALnQ10jStE/zvbzgkhNR2vmiw30SykyplM3IvRnRUt0/nlKr+2mDlr
U7ItuwlmTqCPyJStBQQSgZ4VPMCOQbxmzs+TqWKVm55gCNJInO/4oiPuP2RVxNKxqKNNlGK8cfAR
iN5vknl4GLZJPq9TG8zDBNcT7wp82u5BqRtiN7nVq+RYDDk0JS1OjlZcpwRKoh6dLM5Tc5VXOV/I
fcdVYp56vAbQXvKeJnUAWa6wvDlvYco7jzmxHKu2iY6DUDahMiIsMDeZ+aXF1qnls9Y5X9sRe1xH
kuNEtluqk3BWzScdWu3YoHnMVbk5qOPIdysCI/tt3zZf+2a4SCaoZYl+K8chDby5OWKlM1e6AQ4x
pS0r21gfKV6Et/LG6IPvNQ4TLCz5rnNCmwH9sFVCayIN2tjqeITQX6HOYByXxAauxHhwI70/jVZx
mCRmjXmauXpof8m0nrmHve2ZhDSzvHGs/jI2hwdZrXYC7gPOyvLTJGP/mwoJCW15rfVO58ZLc6HL
5IWEyVYMNqt4OAfmAgSc9HS1E2muezSzxOsQCDZROC8Lwn+z8TVJ2ZVlO3htWSzswtraMbqDXCxr
u9DJQ5ilVV3JwnOEllntnzT0BO6IZmanoBFXxFA7DK+UxT46NhjaZZHitbmMe9lMXcpGUruqMPFJ
wxPCB4NLajRdapm0ToEMQT75oaGBLvKKMX7nt42NxiuuC3r6QNq66rKz7Lsp7iM3N1AqTLnh+CTZ
Zo8pHCYvrIYfSdsfokm+z/piB7ruGDktNOAmJrVU9dS4+WGEs9/3SnWOpolUkeUuVYDvGdwS2IH9
tjCuGomE+VB2vkhm8zDV02HMI/RzfW6RAW+7nRIdVAbK0WRcgPg56Eju3ECfd8AK6NErQT3rWxMV
2v2QSWPqKVKhrKUFrpE92X4m44k0xPRjzMkKL6NvOvIcD/cWNiaMUM6yXChNrvmUC0jnVGU9NQj1
Ag2Gbwdk2unSE9cOtst5AgJdxg9lol6WIHEJYRpXQwlwNmq/4vLzOtnZW9J80ZrTblHZvxpLERSm
4m6apXuSAm8JGE/FlccjAYaEvnm8oPm2uPpi3yxQCr2sT/qrpiNx2MisZKsXMomSwE0Jk1O0ITq8
qacu//Tz/a+izy9LXKrt//nfYiD6q/aJJg2tT7DXxGEJ5sivt7q2hgIwOxo6/pt89Wish8vaBZ/o
Os+31xiJ97Ffut02PlJie9G2XEd7A23IKdr8W+D+WeDSVf6gwGVu+fy/Vs/Ny3PzuzqXH/6rzqU9
wNejC5+7w73+vV/UUmWHHh18UkWnBP2rU2f8oWBMd2jUiUE1bIf/1LkY4U063zYdNuDswj7/D5rp
dPx+fYwc0clHkEeBy1BSe1flapEijR1Ex3MEpLA9T9OXNx/Lb55TXYRfvXsF3LDU5RoIJofSV9TZ
b1qBfdDqXWBM/blfDB+p1I+50s9ZkFwjF/3RQctryDXzcl2rxerfMfXdNnXi9xY6XIwDEB1JNSws
0LytfJv00RqF6DcpUwRO5YikZGIUm8ImjrILZVCMlDl1VxOGAw5zxLQzsDupmmtENSeqhm+nXY2y
sWPdB8iYZPSy9OSZWceWp+tx9q1WhSeM8FlfB5nKfTyUHpOM7CUn1b/20ZSvO/ZuVDJRfVBEeEeo
2BdWZUl+ZjePTkMfRVEBw1e6Pl4m06isNLXs1gohWPjTisPQxE/oC48ACBAT5/NxDEkkz4pyy1R5
Qe5c3wZGtqHwP9lRqNF0KJ4keUTxrU8/8lQCn0+p0ObQoXvMZmHV3VgJ0YtytdNq5ymVpW1R9fuO
cCnX6OerKbX3yTJh11oajz7DnrrlOVAGsM7sUqEjAcCOn7sWWCw2CY5oe4tJ/kICzGYUbB2B+gXw
5t7pLSTIxlEvagOW/HDKNBjvbL1NVW9NKHk46Smd46XbLml22QQlpcUSHbqYAFzOUACcyV6X9Nsu
U2h4LJBUtUW/iTUARlE7RX5vx7uZKB/0xtAvg8TcEM0E+ZB89153/FFm/Ckza2W7HNYoqPbQDV2w
sQ86yNUxMs5mS/JOt1yksX4d5fjT+iDfWPpwisZmV84jQvaEeFI0YLkzbrNhPDIyujGVMl91SfZA
Yum9ElgPZtCvy8bc2xjrpKl5oqNEb6qjNtTaLyW/PHPIaSPNy7cUSyMcQrcJDE9Lp2M1Jvaqr0NK
3rngL7U59HXYnaFpPbEK1kmcfAkDAm+ntkvWUt/z2NQ/5jLZ2viadK166hv5iyTJN60l0keDBF2g
48pG9rKkwRWY8mUVzeGRgQvsPRiKK12ybqMFsQOpyW4Yh1jR8vzFUXJaTzSC8LxYxskW6WFxbGLT
qoj/NMybxNEf+6oN15KKT5lbLqsnGW9kJTlIPfm0aj1yia0n+KKKcT3ZuEP7mSAeps4pabBa6ztZ
hSmSPjf3GPMcdqrpxxjvZLrPnlMHgOQchH4E1lolEjsT4UbeDAG981liTpbEQ3yemhgFeWXKlLvY
lzUqHbeRUkR/WRl5ekSYQ8Z12e8WfE5FF6TXJf0Ccjx7+VCZgo86U1PVzaFDM1fpVbvDyUtmmIb2
RVHrdktGSeKHcX+kE0mMa1oVG4UuWTAtjr9M4g6lZ5VfdnVJnynOLqxMJpEhk9orYK3weYPqq7HM
902gPVtpvWV/OyWRwgGrYA2fM+kYILkUwkxAv6YxuV1W5jelgbJipVhB9tBDPR0HzJKqal7o0CHZ
WVzylD38Kr1XVsXBqi02RIU3bY1XRU+IWsV9iT1qHxKolWm1j03TrZbumCXSJjKik5zJDymaUK2X
96MTZJtiSp/0JDBWbdy5o81FXgF3uwr02HqpRkR8pEtAQtbrMb9NlXxcE4i00SwMx9pCgnxkLyma
vbg5LXZ61tSK2WF7pVCNE0YJdhfjMrBIw2PL26lK0PuhZja7bB7uTKm6hVHickfsM4qxPvLnkbhx
9px+P8pm+VToxKZNsfQDKQ6ioL4h8wrrlNfgXLsA8YvTak4p9LGIDBswmvOGrT96CGpeARrGbYEe
CRcFdVk/N8kesdG5YGLtZpZm78BPRyu9tG6NuqR3oCe4vnKyG7xZDwI4S/WtGcy3dmEsj0tQEK3Z
0zEw+lBZWeO07nA7MLolfZe8g9LN+MFVMxj9IzY+DNP2HJNeHo8Rp1LUEcxb8BWP1Vqz84bLU/nF
HCq0QQhDLcrjFhflbO3Ter6To8QfYnDIYJ7v+ky9tfvaOUzzNOxKKWm8MshwozFsXlWy/IX7peZp
k14/9maleFVJKE8a8aBjQUWfFWiP6uR0N4FqTGu7lxzG1PL853z1/5UwCTCHCoPQbzT8jOyQsP16
OMNnZm4RJsW5I1zcmJadYY5XY9OuP64CxMzxTRFg/8/r0OwzmLqx7N8XAZ214G6JinOeZafWVO/Y
lS5twMhslw1ZfVhbmznbDiDHMzvdtmp0jGhTk0NwYKc6GkinEie9iqDpmrXsa1HvcnHDGhp8L3sT
rSZLgEr8bMoh5drPuu43Bcxv3zmjUvqNusG8BsHD2/LFyPsy7py0OI+koIQz6GcaTuXx4xd5F47D
5yNajSD9RLOTmMzXeeqbIqntUxIh0344VyGQDMnUd5i66bAFZKwxlSFzRBoepSorryDlebMj70ab
4IFyRskWaEBxkhwW7tJf9ZHm3BScSn1JeLOMx1Iv8cIbDCBXRhmeYyneTwGNolFl3Zg5ROuZ8I1r
Q8me0y5D0xXGm2UE3tEqph8ReeinnfZVatS1UDO47EpMZHUH4EOtbZKIQGiOIuHqNXf1on6Pdet5
wqbWgyhfYUA9zYs1rCxrlrayMiYnOapyqAlkzYQKgu/IIVpFicP7oFfy23o0OD+UEGR2BbrVrLqt
qYz+UHLEKbTp5sRK/UpWLxB1Ft60IKOkHXMMZDzL694A9tHLX2wJP7k1Kts50ekINJFfVMXCZb9Z
aQy2Fp3SY2KZEQmBKWOS8m3TgSLPlWnfy8NzGqvR1zkzNrKJZtrKopNaLhg+2noda0SYENh7nZtm
dnZ6ZaWYy3SorfbPYet/XZWI8d+vF54HFiSj+lePCyPAX546eHFlwZ8hcVHUZ81pEYFXQ3Y2JSwR
7KdPYWukaJMjVzEnD0ueyAXKTnwqxKhEqbVVw/aEInA1LurJKO1HskaidZsb9brvZWZAhtoziYIG
RTQ7XalSz7cqh7o3AizyUJhTj7ARyXlZkKVS34Q5DmIlwnW9jGjLOzwzRVWvzXz52pTmswNwzR2U
0nKbXL0z1ZnamS6VRtCqWaJlbECDIwg3HxPbhPKkfoObKrIp2QacbGsW023g0McaGrcuNVSrM09I
xaVdvTGG4ZQm0Q0OuOvccjbm3D3aZLWvqBtlHwsktWA9MEBivGSLGZ2WQK8IVE4OU3qWeCbcytG+
KJr0qESIbOtu0fwIePawADCRphL8fbOR5WTnYEBTS1wS0eDpKbJw2x4PFqE/gGfwRBI712fdrYYu
yLEnRkrzszbKX2uteS4s0ydECBNK4WHhvEC9drQKcz3SF40wZbtxYUF9jq/SSkp3s734ZQshPkN1
V1HQlGbIvYTFOEjO1Vh3P+jWB5j20Tb2ZJ90hEZC9/LUkH6xYh5NDMugX/mWwD/5JAdidKZCTfvo
CIjGh4nzUJYA1KX40oj0VRiVazWVDjmneDSGW1shJKFq18wfC2cH50BRODWzYFx3HO8oDiuCEusE
ZIO0wXF6WGgRWg6AjVEJAU0jocQloKwTdKY4yi8DW9mCyj6EY32ErU3V22XSRVaN1XbOrL0ejodK
ZVoBcoHvpiLjYpTJWa3Gk9RyS8hMuqu5X/ZW4QbjpWn4Voom1T7T3zTndYlLxRoeKlnCGCCfTIPo
1CnQj0k0Eu0YBMGhVwfLbckdgxceFJtxIJSFumFbzl3rzaa1bQaqEIsWLWRyou+CRvnkaPtkpWrv
xGhq5MyJU6U9yuAQdOkJ/Lw7DTlzyou0OSncWD4+Krj4/3qS/rozaO9OUjWKCm4X7Axl+R316DBB
qDgW4SOOno9fyPhVw/PnmURenK5aJKQzqHvXYRpbFJyJPEwoU2cGy/HUunGgijyqcheVEs/cNByq
CoVASbDcya5tY2UmJUFVCfN27Pd8M4r0Q5ftq6nQ7BWtu3spLi9K2brJKN+49bhdq95MYTsxEwEw
0cVPBemUEr7p67BPB0jgUbfJjf5gMI2isPBnBc0yJd6GOYD14KjOTbUA6NaMfa8Ry6SphyWcd0bl
XIwpaG+ObUtKD6lasJggBES2O1XKQ141fpwFO8LWsDWRvdwZ+fMiz4abjeGXenKaBzUUc4pWCz/5
VH/tt/z9QxVtvTcHfWrqBYl19nS2p6doeZntT5Dhn/397w4OWcqokcN0Psf2DZrxVa3dffJY/Ob5
e/NUmO+ev9zMUzlVw/lsqJexjjCj8+Vodj9+kV+bm399SujRKEmBrJnvHr3JakdgNPwWjuqq3ddu
zKlJ7uLJ+uTbEHmJb1aT0KnhyrdIAKL5RWn6Sg1+83XMSVwAK6rUM2XMVw417zZbBx4hU6vYfVgV
q4ed6Q7Hl2tQKveT/5z58wsrut1qu49/4ddp8htq22sB+PbAf1eIOyAb8YqzjXTrwZNd2Z9u+k1+
Fa0d33GzZq1s+JzXiovQfhX5DKYGXz8XXz9+F4bo9r1/F2++XENsPm8+DuYUma0i+j4/TjvVt1bd
2rm0Vhctjkhv82C4RyI7Ns45Wk/b4sbY3gYestQt+95q2RDl03q0zjzHk479tti0F0QzTKvQuy9X
/ZnZ6sbYOTtIYNvmLl/ffPzWhXTxw7f+7gOU1BZaC3EtZ5QkK7Isvlfr6lbxwC56gRd5sV+s8325
ufx69Pud4XJhT/b44fbJOXQ5fHwzXX0L3PuP35X6a/Pzrwf55x76Soh484GSTzw0lsm7inaoiN1l
m2+C20JeYV1h3rcKVo2LcmZjn+ut+kQjzf/49cU6+fv3+Z919G63YauR5raap7O8lL41joeFSKQB
9/8nh5LYVT56nXe7jk0e3jAs2Xympl4N41d52o7my6z5tcz4tlp//Fv9/qv++Vu9v0xKOZu/USf9
OUI7NQfXVXj1//cC7+582oT5x8y5QKXGQU3oAzqW9/ErfPLFvErc3zwXUl7ZhTWz0EoSyOHBVerj
QjjSxy/y2ef0bhdtlQzIlpV050l8K8y0nCn5ZKP+7Pd494D15dL2WCTn8zhMEI4AnZAykl9+/Ht8
8nRZ73YlMwilmeYcpwFiW90BlJJ1F5rWu9bcErugngfY6h+/5G9/L+OVfcB0jfHhrxshgGoNvU7X
n/X8h0CDaBFNvs3Hr/Hbr+fNa7xbNBnEIamO9OlsJDr9+6s8/6Sr8NkLvNsSlzSftKSsh7PMpk0z
GjX/Jx/TO6r+X/vbz6VoigPlzXMcxQx9goznmLvBCjfUHqriiSuCu4dT4ocXIGo+GXwKiOqHe434
rd+8JFkzGrqZiDPqkcZwwa4KJXiFGvVZOS67YXW5AHzi6Db83GVOeyWtrjtfnOqXX+pLbc+tHcOW
P3erbeFGm8/e3m8PchDUP0uX909O3IyyErDolAtxkEurdpPpu0JxV+lG9x6K1R4m5uGH/MLlrLmb
D7ihP9m9hCH2w0/o3feOXAdMuzNTS3iDh2ieHDaAeYfMu8a/eNQ2vfdFXQergo7tGpTB5vPkg8/e
wnuLjjT1ko6HpjtLh3I1gSJdJd+MteJZh/77tK38/GhtpI30I/yiudMmvQi95PvHq+v14vXBmWS9
e07SQcv1tuDRbNZoF1agOEVVt0vd22E37XZ4/1fLGXvZg7wuvXxdbaxLop693o924yp6yj7ZKV8v
Zn97P/9Z7sa7i6ItOcyGCraU2tc35oY4qGm9rJfj/2XvPJrrtrY0+le63hwu5AMMetAXuPle5iBy
gqJICjln/Ppeh3qSLTmV557YrqIpUiRwwt7fXis+aqtXPGab1HP21Y6i3mnyxP0ajCm/om6bbm5j
Xx4S/ns4+Hf8TeOd+17i9V9o1H/lOV+85O//+59T2f7P/xXhe/be/sGEDZ/6vXHPFBwVa0Zeqf5+
bcF/C6hCFwOujFkI4wHpfskk+9a4NxGOIlFySKDCHkOZ8WvjXv8YkCPyb+k09i1c6/+gcf/jDkWB
k3E6lQAI1xeX+QJVfvw3y2DikP0cCze56PP1YgnKfluzfvzND+bq68P5Q8jE+XEp+fpVmJKnucUZ
1jF+vhDUQZwx62YlF10JHtAvHbUA/NHMjhcYerpOIOF65axrJxHC7eurKPGyJTgOmZ7cEGa8zmJn
q1tRDL1P7X1VUyxPc0Cc0L7nkhPyqun5vh+iczy4O/zeJ3UZr9tZP9dLeZwwPDLbd1ATkq/5EIZg
hWt3I2T0PeipEsa6+6ZN0UhyjuJ80pHJzbL+S0ylekX6nSN9E/Suuwr4fFKl7mpG82wfRmXhGD5O
qCGVlnakSzFi6hcmGtKuAO6vmw8BDZOtyCzjWc8VCvKGStVNTSNK4n1dZQjoavz1kFv92UnVmT56
FSR7mo8diH6DPgTQm2krerJLE/hOMCRGZTgPi17bfkYjcNso4Ii2WjlOS+1VGsGRGoh03s0BZABL
uXRqXTnz55PtAvWSsqAeS6XYOiVAV7K9DQMKDDw2womBPpvpoQfz5Vzx9VrjmYSgaI8MvkO5DsEv
l6KxpqtIQ3RRh7N7dBtbHAZCnE+Su/AI+ZMEZTbDku+K3tw7wN0aupYyFOswLWJ76ti69yWcl5XN
9OBaoYTs69WEPZBUqleHlFwG3Rooifdi3fEzPxXB0r60UUjzC1bLPGFKdet4r+i4tpk4ZRKLBvzN
MvSHRJ2ztVtq7g3oM+aVkyiGJuMyzl/lIOlS0x9K9o06fiSTOZz41Q2+XcfLuukY4YJjwoAKOJyD
vdCCFB2MVUqQmle4gdRQDzq9obrd2sawG02yj9Gkt9c0LDSmH/JzXGTnoWm5GjbxtVlaeyfquS/a
2Y5YVuqHhnrVuuMt7c/hPhwm50tJc7VNUt8eJ/tLCU/aIkuZBrV2pyr9JrQ7euplunaVnPQmPauJ
jCZ9jLe27d65jb3PyfzAwJffGMOBXO6GBWQlzGVrTup5dgbfcLsdA7SnpYn8sBk+q1Z/rnNlk40a
sxE0yfr5tSAwG5avAdx2f7QzgwmTkG/CGp4sG7bmYptru01bQM4jYtZxOem5TnxQP9tVDwA5far4
9bUdRBxaDOtgsBGCkplUl6cpaNdhHuirWq1XRkCSQWsLdZ9YWuJrc+RbQlzxd7yhx0v7JV5Cn1pW
65mDGp8jk8wiaZHrLivaM3XsY6hPPMwwmLMahC9QVp6yfD66vEQwiknvNP7kOCcHphZE20dSf15q
idteD6+LujrBJiRa7Z7yfriO3PiQwaDSoRczyTOt9DmldBchD+sbIA5ho16kSvqM9fS5SvND3KbH
MiP40mvXC8jhTC/8ks6jZSawvOv5uAjBnBADLMQIXmsaJr2Ld74hYUrSERLNeHBK/KH1UhSHzinf
8jkQlA8LHI4hGGlrMtJt7VZbumTKzTIr9d9ccalQ/nCI+1h5CWZZDuwM+CX8+8f1PZq1vJ3tLL4o
61RfD5k7r8Uwp34Od+jU5aiPxRBswjLKmehZ3rWqbq/rOlXvHHjfq3KabnpQwxDf/dQVj+rUbevI
/lKkCRLdijp6mATqyp45/Cw80xk83zKwWo8My0JcAIKkcLrdUJafG7H0Xpy0DzpilPWgdYYHkaJc
ZQRNa68Fo1XB4u+ovmtJs9XN4SrTy22bi7c5y297kRz6IIX3nB3qXj+JqiRCr7uQHObSb+d4p09A
oFtwOnagEFOE6BHy0/Fbtb0x517zqsg+qJHLe80k9CnotG6VNNM9IRITWBrhbX3WL80YrldtS6hR
nJ6HarmI2mSfjtbWQmtJerveBwXot95p0PM5RF+I3Fhhdcowza5EoV/GGdTXPkfVpDcrvsuFfa3d
lElzSWD4xhSAvYZiyHy7ADlsSJxB01zRERw43Lrgjprk3pxNTCRTDDsCJfDAwzTxgDrNsknT+i2t
1a1W0Wk0tSfS3X5u2J6NSmFkHTLa8q10xUmtVfJqrvIW0FlcVXq9sntAlWmWa3ulkmtZd4qF/UlX
s42qwihylPRpznXNS9o5hSMaXhqLpfkfVGGzSpydjlL3oTRA2hINbs4ZU1b7vz4k/HjL/HhQgbDS
qWToxuBG+NOFJ1maEW5oHl8ExHyM5NDQWvzrryDvKz+cnA0qtIwDUbnmYuVIUsFvjzqGjXPHccPw
IrPRIduXcR/v4uqmGZENwB8HrLxxk/Vff02CJH/zVX+6P/RV2lUmGoizOlPr1HXaz/wHu+InJg9x
JTMw7HWORWDM2A99kXrD1IG+KOi2q3pcekWzfCoVcYo7U/XaPGLSYdQ+O5EpfGxt9zYoDJ9C/VFk
5pMNde6gZUwX8TQV5bpfRLF2KoVIZDU4nijmed9PwvhcFkm3MZlDBOYdv2Y8q5TY7MhnBZ79Dk6S
x7jnLcmmZct6eN+Hg77PQ+Mqmru3hGQlm9Jd2zQbu6WDplvJzlAjZZ2onFCysWDAZ4EAVuc2MZ0R
F7SIpxs9KpD4ELlH/g0Ix0Vk0Q6Eekb07lW8b0xlN4/m3bQkj6aaHqyuBFuWcliLAwPGaRcXPMTW
Pl0SJgVqv5gD3QcfRj8nSFll1ccBx/cqTnLyjtO2aOj3BwtPMNi5LiRrwdxnmSC5r5bE8ZssOFcE
l0JQglpJ/NoJp9sI8uJqYqyp76ADGQbN20V0W4UhjJXWly92CAFRza9rUA8gSrtVqx1w+mIatIyd
KMisVZp2X8zRDj/G5A9Nf0EuzQQ/Z+2ZOXx3arS9gUxwWeY2rMyTGP/udijhGH/5jMuD+G+O86PJ
EUNfeNrAw1+FF8oGluHDuCWQs7NPDluP96qPK+ugnYvn8W9KKh9pgt+/YDKZY+Mcgqzx4xeH9eAU
0NyVM2i8VXHSvWoDWE87Ko9io67V+0vFOz0Oa8bFhhf+kV3MJ3V1iDfBhZwB+Zvv5seNjwWEt90g
koyL1uYa9fM9eVbH3NS0JLqI1KuKilWsPjbD7q/f7h/XrN9/jZ+aWEuT90oUZRGb63vY7Nz5b0ow
f/h3wPwIaIEZb8avf/yB5pO9KGqMm7tUrmrmuxqLM+fXFerf67tGxe/Pr+/nl7f3P4rcy8/6fnOX
kXvGMlFJEqGHgfGbiXz1F5wq3N25sUFgtvnQt5u7+AWQm+vwG5MCQng1v97c7V8EFAvH4ROIsZPL
/yc3d/OjR/rr+0bXEfQrXUfqBGyfqiO/id++7MSy5lbvtPAyQAEk5pzYRIuLLJsbZq6yxyplNmnq
XH+J54MAz7wt8pCtuydCpb2bylB7o4u70BhRyonsOOGVWy1uci7giBOiV67leg350ok5cWcPICbT
VRC77tqMq1cNBQpbBdVBWGyDNjzZGXr3JF1bOvsXnMtn2818hcvDA1u5uis4vYX5GHgisAafb7sk
Q8STHSuMdmv6U5+RxapjpvZbw2QWnPDaZuqCL8PYvgPKAYkPaXrtlAnWuSa+LdPoegoL2u3jAwAt
pr7sELaXxY0uhdBmIX/yezviJ4DRnUh6+dmxklfiwBe5pdqkiPgr9k2brttKu1IyQ3qczmW1HJMy
hoTRWCo3Zv3KSpDJFgb2nziTydhu8jJOF1vbrBhobMfXoE0IuWroOtLIYTycuTo/U5O7YZivIHyQ
VlG7mr9SBicud2/bnLhOrl23xdhskszMfcVdjlHmHqJuOlZlpHqCnjXClGEfagTiwpIsL3noclX2
lrJR4tbxXUQx921aMl5HUHjdk8D3CPAbB0hHODbS6Q10AenfIdI8tVBDv80TZ2uAX1tXoXGya21f
m061AUUbXM9KUa6iunM3c8hu6ma5K1M/tlf0RXRd2sq2bCixxoJDbP08A/zZtqEhSQ0Rl9MQ4TKm
nY2AFQKiCGKCXQSbLqyXtRCFWHEufoUJSwldcG+DoZ6vs4LNccqD50yMeztE3hyTWvT5Q2cf+Dv5
dmh2DOqt40Dr1lJWfdD1Wto4GDXVh8lPJosHsocKo7amsWtI0nthv7wSezegu/YczxUTsXtayBnn
UuA81ylgz85Z5EweOpP93lRDuW5c7aIYGbs2Oh5l7nSTHw5wEquQupSm2LdFZDwPIiV5xR1q1Toi
23XtlHltON4qc9DuA259SNcLSKQAZtKwcHy1H3iMXcGsIcC+2szMnZJbT26if+a2sxUY5tf61J6V
nORLqDg1+iuUalH9eXbNmV8+aW6/aF37GkNRZx60hZoaB3SLG+vUzPnKGN+zOXqcGF4lkeUQOyaK
t5qBF85GZ1yJMX8ai4oWusN4GUqWnuPG/DBx3+ZmNBJ8iklBjW7qE++aPaYoH52yx9eegcKJS/yT
TYz+KQrtI6OK9ap2IlKZVnG3lMFlY1enfnJbvy+LL3FX3+pGtC905zg4ZEe75LgsGFe4OEcKIfOk
wF42A1wwM8pBeWPeqKU9+Bp/7oapzaNjUPXhMrgvRajTOOcbd8Mdk6JH4BVf7E5sGFWXS5O5LqXW
CVDeiy4PebVUPtVTN67iDw0UPihnCqegR53WdY8FHFpgq1FlLl6kNOWtQdjwgavsSGVCZ97BVlGx
7RiitJ7DtLQOHYKe8CoLs9DZd7ViPgehrQfnxIrTbY5tze/d4FGjMrG2Jp1HIwizdcDzsjNLwkWg
eRnG5LlbWxWXfjl80Zs94ysAOigT7vCtyBxere7gcBco6oJrh4HDqWBye2H+xlPC/CojbHPfQ1Bf
51XM8pRm+roPky9hI64bWy13ymht5ritdhmob09U4oYaD/WE4aG2ymXDW7x1AshdLpHYWl2uXDM+
9ilRpKpSX5hjHpDejcgf8hsNb43XdUG7qzMFE1obXM6pqntzl6Y4JpOJOPSopfui5KLYGsWLKIdo
beh94xFBOMVp8ll3RlYD2MKIq4p6rlaLw0SEafIeZgNBPyW9U6cTDEw/T3eORYVo2XLb2iqDcxlq
VoysKPliG9FhyTsu1Ia+Elm81jiwrfC2DOtsqI0V2IPbfDEmZodY/Zo8DzcFs6Bcn+i2JHoM1wz2
2WzmW2NQNS8fmdPS7fomTizIMI04BVV9Vbboi7BOUG12lLs60i9Mhi98K1Q2pABbzxUFMNKSYc76
QgFpiX8OIYwzvCajHW3HKTuODG2uuJMdg2p5tGpCXlV8OVtlTqLIPlQBJOM+qTYxWeqqdZ6p5sdb
Q0WyaSslwyG5hp0wZnCMW3YxkzGjNCVcyKeabr7bMMA348JiazjdMWFAd5WL1OZ/nDYYQA9m5zAz
E0fpCgXR3rUF67Ohgaoj4a/Et1mQv9Q9IxUQS9JuPg2l8pAa/KpVfEtNX3YsN8Mm18L3xHV31lgy
PsBHg8r5gizprWq1Y67/O8n5n/+6EDjI/fl58iYe3ps2fnv/fTNItvC+HylxFnOgBD3yjUjyvRdE
m0hAHKEExOAo3JFfT5QmRBIs40xYUMiBNsy9qi37Lvrf/xgMcXLDgZBGvo0ZTrrc/6AX5P543+AQ
aciRUC5LLqYGICQ/VUgiveA+2xv6uSnruhInJfvQ0bqm2uYMWJlJeun2upHikAoYa47Hftlo86yh
zOtiC9atml32Za2wH07K3rIK49ynCig0vS2OOafU29lgFWLAqjoVcVe+dmE3HvR8TG9NbWyOZgni
3usm8U70GtSt6QQbqoGyglB35XOkqqoLDYnNqxkZj3MzcPUaRPisAK2EuuGLYsTLjd7ace+5Eeea
YmZyQXVwNVR27U86LjCgQrmHzSG9yvM+uNMTN7rpKyWLblXAFCFtdqHVyx4ybUCdnGg9KxBmnFDn
CxLs7/XVwAQudfV5dEhv01obrptGc0byq7R8fPwQg3ph2xAQcyuuk3sFdDuy4iEVwoN+WDMz0Rhs
5NYw189p3xt7cwAptXDN8ClWr5pqPjhE432tsCJfHRrXOg4VAXGK1jYzZhHrLcC8lqJ8PVCpnOPC
MJCaUahkegLYcbmYN4vWDsT3B4p4pUhemUyMDhUlpuVsJXW3J2QbDzdUQrTN3FjFYjDCZYrxnLtY
JpTtx4vw7w1T1vr+fEU4vzQxQsCX3y8I8vO+LwjuL4YqkJyAGf+v/+TbioA1xSBX+hVrxJTGrwuC
+AUgoqYx1GEycy07wN8XBPELF0s4jnRZTYaxuRP+gwUBfzBXyJ+umLDSWXOYKjKh0v2UNkgYpdTF
okeXubqYwTkC8v08aWrk7C0Y2eFVybnksPS1/WxH5kgJRClq8AaTMj41i2gfANWUt64bWwBNjH4s
N0YhusfW6JkCZBJCrO0I3reJ3nOSns9JGj8z6f7UJ/vKwQvErN1lL+Wg2fxCxPZFl9ZQyol26+Rr
bEJbXapF9ZlbkoZtdBoCBg+aA7U8xORSSEr7q/VCdX5JayYe67EZmb0h6dNKlekspaZgYjdZMTDH
UWBrs3rmGcKmIX8Y7KrcvjEHZkZiW/NTg15EQI7daRgvwqNa41Ot8KpGToJgVapWCyldBUO3bB0p
YqVzSj/CtKAli9OAq1Uno5faRXbKsbj2UcrhPNAd32yBS5hN2KzyEdpFhf91qKv72lyqs9GAEl8K
jkaNw42iyWcmz03mrhspk+0M2qdTEWYnSFrAKatPEFpBDWloB3u1eQeNNKNcmbK10/Y7gnxbFXOt
xpm2EiLh2Oh6pslUAyWLDQcGCBvSWAcSFhnu4Fi7uOC/zGGCYeGWDwXGXA4v1w70IbwRr1oa3dlS
rdt1iXkKQCfFlXIdV1zHB4vhsUAqeUMUT6FkTpYZE9W2fWc2KNKpvOJbLo4LjeVKCn5TqfotCiFW
3M0SpHnTEfGI16njwOxZsc2kKlg3+8XrsAf3WIQTYC++LcXCnG/XTHndIk5BhyPlwxEWYrNGR9zL
qzMBP4eF1dx3UlpMA3hCRNozoIvQ2DKii0IqjmHXUwXAetzMyedgQINsR02/sjAji8Z5ZOv+JILQ
0wGGZDlJwUl+G+pwo8zOpg6WywyOFCWDjRtc8bCWFyYu5sxNr5bZBtXPba2QuuZmirnySYWzisu5
s3nsNOzOJUZBxkL5xhXnURHULTqpgtYSrJNKE29SLNFWlV8aWKNN174aWm6O3dDQ5hHmRjHqZ5Nx
4sjS73OpnrZxUFe4qOd4NKAZ9kfFpck31BzI8VY7iUCOPZ0bu3/X8Vq3+K01YZ8SKbxWpfq6y1xc
jVKHDcvuLZOCbH0B5OdMWe9X2LP5y9urbow+1Q1ibU3NL3VM2xS2NxCsPitK4DlSxS2klDuHvNP1
H5ru6CikuDuyKWbiP9LJKxbZUclQv1ofqm8UUghz8hfIgOm6wweutcGnTArCAWQ2dEvMnessp6zo
zr3GmHVvPo12/oKc4LBYfFGc40kVM4jk7iNc5G2mbk3c5IaUlMfYynt6QyvsusVmxqJr6tI/p2lc
cCPQBJ1xjLWmuG6nNGgP06DJFm4xMBEMpMB1a3rqifOI+j2jLJMDZ6jpZ27qTGW4pJ3p2RUlGOTJ
1K+m2TxQudUuIl4sj9+5dVkI0mvWAGOam+30uNRFeNMA7D8mZmJtO34E6zFTsp0GPmZVEeUwViH8
abwkdhftOsWAIUkPhTnLSoVtkwTp1/bYv9u0TBX+xTb93ry+v/3BJs1nfduk2YlV+CaWRQOdSKbg
Q983ae0XDvO2yZil0Dhd0bb8tRBMlVenAuxybnchjf+6S1MINolcsbEavK0Eg//JLk31+Pe7NFcH
k/kqCTM3f+51GIo+al2dppeaim3ngGujUr14yE2F4g6qrHVus294fZ3UyBExqpKWonmxI7+oBsm2
kBVA+nBJ5zxEMyOTgKvuNMNsMCxAUfgUyKKA3RWk5LnaePlHxUAOeic5mFTdondKXaFM58tJwXDs
Cv0lEDrDEU16rKhFFDbCVkF1AsrWtpLlit6ZHqjcvtnUMSoDllqMC3EXTvCHsNfvzNa97qh+DJyo
EYXlLDWyNFKNXXofUC1Bxcg2oM4kPSbt0qGiMuZgoOCHqLtQllumxtkNNiTXPB13ga0/mbI0M5Yz
yEVZrimJM69dWcKpjJzcEAEolruA6ksdferTuvMLq0q3Ycpbtsj3zZBvXv/xEo7yfQT7wqtZf7ym
unxjJ/nuRpEq6Wa8z618s1X5jgv5ttvyvS/lCgCv2bqM5aoQaqwPMwtFLVcMbisltRhWEbum6djI
lSX6WGQGud7oLDyBXIHwJFH0iFj4Z7k+dR9LVSJXrUCuX07VSISBO4Ml5IRTxwdTIErZI7BQ0o2O
inuYRap91mrD9Htm2USdQHMaejAnDvV8RnmjAjMYA6Eb1cqvzcQFPYGdHpNCk77TPHgEzXcqVarK
2NG3GUUjD1z/uXGVc0toCTNW7FsIr6eoOFR686Qr6SkZCZ/Ven5nhNG47qTIhtoM2uSLIp8og0Ud
1zErmWN9bRiDkVCjj5LlrFloUFRkpmkF8towh2CfztG+zyX8JKBWCRLPWedL+LpMI4RslWGYyg3y
TSl3Ugtbmmc21isj5I3cxlOuX4xzGtG07rXOF1LZNnUT0B4MZvEAI2NGzLcKSHx19pj7jmpRd2Nm
mRtkSN2U/zORO7TmrsVcAVVTZbPFcgncLiZa6SgmqT2pF8LCApA2FKnnivyUqnZHO55Qq1gU9eKs
VcCr6M/2BMAmmMvbUUAUd+fR9YKiFahdqFVRmlxxBWAUSoj3PAjfspKDKm+X1yVEzhMluerB6vAM
6GtN7YXXtzPzr5pk75eji9RLl1jN0C/Upgv9wOo4sChhuVAyTUSZHoq2K+/+veZ9RXix3P75/nFb
Zi/FHwiGTT7r+/6h/SKxGOwPgB+sD0j39/1D/8WEZwODC2jW127ht/3DgV7r8oxD1GKv4E736/4B
o9YgzEmii/FXiQT7J/uH5sjG/A+3PDqWEudPLxPQv5C1p982Ek0nTxqz1+dLB/L2lUjm/CbWKvGJ
E7t+mMeUcJBGOd7pBvU8AkVlCmiIKGUOy4Nwx+42UstsuyxafLQpb6+F0jVYAzGsE3m4yKT5ZTC0
4GRZ8DkNmnqrgYYB6w8+HjJ81bRTHPcw6QuNsg5SCoyGFNecWmyTAqkMjRBuO1U7PedRFB7KGo29
SfDK1wtVtmWcCs36/ODqtRdlxssc5OLQ25qz6bidHou0dKFQj4xTd26Ah0e9TI2eUcKYlcu1ua1G
aHENyQQqXaNjMDJZOpAhSfJezdpoXndF7tfLEkp/5FM0hQECSSDUaXVIcDp5U1Kke31xR6/jPn4V
auEnNZ0PcW80G7Mqrq0S0AhaKmXb2eFyWMLeOLBPiHWGkhl9crsn2eP6RGdMLOGFuR50PYBXMTir
GDXToc6rEQPxcL00bHFVBuASNtCyUixrndD/Wemhe5EYcByGmZ+OQiLhJgaCi4tH0y5b4GPoDsZq
X0ftAY/nM3W9aZVn2BDxoSVrqBuHiHZdB8eXX5gy4tLKpFUrQK+VmADNpW9rQryVfxi4Flxcg7Ry
Tei58H+i/lO5YdFUdfyxyDyCgbe2Ia5zERpMdk9bHd2XnoydezKlA6xBBjbU2lWJHEwNWwEJJN5X
aMNYm8mwIhILpFGM0DVIKWkZa1urIrmUH1sEZJYlJcX2eDtERKJbSOeswtzjMTxdAl7dFYjMUDuc
ksk9V6O6jTRMZ4t0ntmBfTUHyWZBhpYvccd5Jt+4JnnvRQrTCEjTLr+nZ5/5C0o18F18BMlarjef
jRHrmsuuBYN9W1rzPXcc6S+sGLKQrjYSxEiF6tRC66BLtDNq7sYjjQnvOSink0tDjrcij9OTRv2P
vXbOygM7leELrZlOoa3H+38X44/FWGZg/mIxfnltmM4ouj9YkOVn/mZBBnnJuAOVNxZZueB9X5C1
XwCAMbDx34/wWb8uyMxpwBmQpXHK7oKoyLc6PAuyJtXGXBCkC/6f1eGBNv5+QZbLMYdkTAsyw/Tj
gmwkQ9Eu5TReTpkjAR4x1KgBKlSVDF4upm7Daa41VpNlDk9jkh9ZHN0trEdB5jaOvQC1jh8UjnYT
hvYas1y+ymfoIbYaK0e1W16sQF+I2Xfv4KXbtUhgTlTYR/F12mfSqehMBqPeVNNQXxBLWidYSztO
bqOKaTbGZ5p3+sFstC/pND+M+E6FmV7W+E/BzOzcmI6xm+Qw9qQkNcmQEFDlYU5JNanEyQaliVU1
Eeb9aCvP6aC8j1K7KhMq3jTO9B/L/A3MIpRhVbnoqLn7nG8l6hud3+AyECylrqQ8NS8TQ7capPK1
n8uHSDpgccHaJTgh8aGH7eHHYT/qw3MY7+3KuKlb+2wglF2g+8zFla1Vo8/JFiaYvVkg++V0HgNs
tFFh3Q1ST6smX+bQrMj+6tdOg/TY6cFSDGGLuI19Ypaa2z6LMsIqGQ1/F/5kgw03Dzt4ZwKcBpDv
xDOyqFmrUp+7lLSlWZsXrw0Sd610duub+HbTCEBdrjBW1yvJDRwlnX5FVq6S2aTAEpOZsUrFODdS
4wvTd/BSR6sOi9LclGQS2BDR/iJB21uqFvuNgYcU7ou16wN3Th+KUBHhWW+X/DFpLSZYspy7i5cN
izcZ9kh/Mx7XpGO/tC7pxWi4jLom9YycytC5C7rWfW6sJX7Ls1IokJUAqsNsAJDW2tqlUIH6tDSe
vVCfi01ljuU5X/T4Ht/fQ9PFE5srQMl4yj2LMPPlaCY6DMG+2eizc+cW497IrS3ej36bwcvcURS5
V/pAo345GnBa4MUPIxep3MzrlWj14rItUE1z6oWmNJynaC5JbMYQekxRekmdTVfFXLZrpx+rO6IA
n1uCQ0eR6oNHwPO90iJmi82ZTZn8h8LlEUMmMcVcsaC/uF2/a5iL2emNnd3Wds1uVYriLtVnSqZa
HOE2rO5KB0Z+Z4Mo4QgDAMnCU8LtuA+URJa5Ud+V8yVbHrU7A7BoLo8gVqyP1Ps4lswxw0PdrL6w
g3h1ND5gMq6wQXKYKRkp8UPTnVf6ZCp7RXHH5zQZx1Wx1IEfO12xnaoyfU0Nq91lPXwt8HtIMaJp
N8jDFIBJicbDTriy5WFrlMcu8J/O2Rnmi5b6BQEfhZhJGfNm5gMzjaoz+R3UyrPiYAJoIWmvUghu
/6YMv3aFdZbuP9+Pzggs/qC0xOd824lw5Dk47iFb6abLUZ8PfduJIP5CZWYHoMFjq5qMH/5mJyIN
yv5AAlF8nSn8thMJifUlx07EkLqT+s+mA9Fj/rwTOTSZbEYTkYCBiRY/tYTbhUR4b/X2RWgUy6mm
mFVBU3Wi2vSVKRyWZbUEPUERBclA5jtdIMrzrOakYfo4Id7eWWp2dvpYzTtOqnyNEPrTrJiQ6HqK
C2u03HoBw3W0WD3HLunDx7EnG+UvamgSDUyZt6v2LZtNBdjdsif8AIK8SKSU4UZYjeL1U/Goqz3T
FITBOtnCaVt2hXpgBoIsE2DJUGk3QQ/1t6CzXdiM3eVMZ83qTTHLrJM2cY4LKtJ3+bGog5M2Tg/g
LqjwC9oXVZVv+2pPyR//bMi9OraT2EtFR5xtEtynHVKRfbAw1zEtj8DFrjR2LIJvxkrpW/BkEzEo
Ir5A0XLnwD72psuiQ9wPn7rJIgcSZsc8Vi0/L+cr+O/zZrQHRjp6FlSO5J1niGXy045BXyYIlvVs
NVBLVX3NTNfsM5lEitMZ3hRzOhLnIS7SBI2XB9rbxErBLCDgP7XeQV/LAIhnp8TRKy9umgcGHzEW
1uMJaGDvDTGVhAVqmkK7oxY9g91p4OUKmdKgCaq9iXViNZnlRaKXN0h/vEBUR2CwENm5lQw0IzSs
8NBdP5sz95UG+hnihNWQpTjPTMUbqvBgBvm6qRziLcFirPRuSuhhlenGmQXBRqM75woNkjST80bM
32lh+NjTUPNYPYnUzGA8FTu8mgSjN1wlPK3uDkM/4MxQm8cQIjPCAetIGuG2C6e1PVGJTCYshkVy
ExbDKbYMPwWJydViiYlvzRlsZQwJTRpEnjq5V1R7BBdW473MtJY7KId5qygvLK3otpFB+8ZI74Vl
P+RJzbG/vlSiiouJm0LnzdzEc7KEQCcCesGFixNUrxpPagUaUFAOHMbsdkqtPdG0GZp7RJXNYVxp
BqzBg65HR2apNKb2FqxS4/hYQNn2E717nILxQTPbO7OlMIfFaltE7iU7OLJxh1NURwILQjFh0tHr
RVohgabf7xBwMrr+NkiWdFUmWs+YabgPWzPc1V1909vLU+qEz7VF/3CK0aG7SSwZsabmmWp/P8Sq
TS+VAdHSjg6KUh5Ip7xgy+VqHNaAlErtlsPXJm7Mu6pVt4pRXo0qOvYpNm5Ncsq+E6nkFCflIozM
cywqxUOBuZni7BGsY7EttPklD5dpl87hrh8aqBWR4yKTpSNDNbYEVlc8JQVtzFkOrWbT4hxddSb3
qqnbUF2aU2ynm3wkfBbombmWEh8Q3+Mma+dLTTPfmywi7tbUF/Q478s6iA7A/bO1rU3vafz/7J3J
ctzGtkV/5f0AFEj0GLxJ9Q2Lxb6bIEiJQg8k+ubr30rasiVZ1zf8xh46bLpYRRSQZ5+19/ZvElJt
F47JM1JkIwLCPH0delaSfY8lLwgNa4lRmi1sozyHLj6cgMp3rDVcOug0i1RowLgynpbVVNpLq4x2
1IK8OlGLzd5RxdGOz56pOgnNek/b0VyVI51exCFxQaGigPR/rYEcwzLeUb7zXHzQj2CQruIhJWCk
rghJb9TApDv2z6Nh7UMqwQhE41YijOQkQCwnUMsJ5BJb93VSB8c8S/ZRW90GUfWVbO9mBWF8MQFt
qohdqShOc0Jd1hXZ6SvGs1a0Jz1da1fxnwkgaKGIUFexoVkTLGxFiw6KG4374cFXJGlX0irWK7q0
iNPnUfGmI+ApEIuuOrZowR4NoGDwVGN4HxSt6iputZisY+Tkz+PEJyr87jYbWgPHaPlQYyZamo32
YFj2e8SReTGlrr6YTXuvN+Vn37Be5lr/2gsuBtaOd7LmD4bJxVzZWdtwiyiqTZW7Vz3ceWgGAo1z
0DBv95e2lt7wVjGqRuc5t6yNbSm/T68ZixkWG22NAhhP33dlGkMJk8VoDfatIYOnyMUkWGfxez40
KC/WwIZ2mItdk/b3xEXOS1InScTErOY3i3+n9o+p3QBe+dtTUvuOafkXJyV+7ttJiSWcoQKG6db7
OCh9d1IyxCeSEEyES8exgecA7r6dlJxPvgCMVCIphqA/B/aPnlKKFMjkMX5rN/0HnAyawc/HJORd
xhjYG9NSquxP7sVcZlY5Cc+5zM2531Dna63IJ3x2WRyUbvdotM59Ol8HlGwCa64NSje7NrwPVAvn
pNgIyURbUdDJEp6yTnNI73PV3ilMVb5DoafTtu1iGsK9pOpTDwtuFF25sUUdLCPVB2ro4oXSefkm
VFeoqVpDuc0F+BESsOPa2QVhfSiGiOobM3rM7fKCCvvnWWvh+L16OcTV65Sk135kvtaOeBr7yVg6
7XiCEy2XU5Sy166SY9cxlNskWj1OuvcSQ8IeC0laqBhsZ6XL5D7tshdSrOc9wto+oA5w43jzbq6M
l77JL/2CmDLHvfXrbcoMXflY/Oi2v++i+NmLtd2gl49NrYUH15Arv7GWedFfigRvMaFN4xRfKvqj
mhjugzj6UrLf5/QIou4Ml74CHcrY2FvlBsBtwVBI9MCtcuy5G9mmz5VBpxe/4rZpZrVO7FeZRY9U
i0aHZml494EVLEq7adgbwiAGlEUkgXZBfNdAM5PbY9zr1kOZ3MiG8FSdHaaFu2TZZ9muKrMvtRYN
jFEN66Fa39bOHDHsdleT5+/ofnNIYCYlPCrM9zaOrUNW8HoZRgI7nFmX1m/6PMVYlZ0Los1XZZO8
jk7gK4/DBbZjclD9y1xaKyeh8xCinq4HJYG7K9emF7G1RsIgdEwChUIoQnSjpTP0YpGl+IgztyFv
M6bejAcxF1tMw1Kbw4e37qsttT1Wj3bTNQalaGwxDWO6Hlxi210BuFSZnyeVumpVyU0hODNH/OU0
ad7boNZVnqFouI53UWlin3nlSSbjCz01D1HTvMnKG1ZimILV7Dg8LqnGRqTnYJIm7b6f2nLVk3zR
xezTZrbaAJn5NQ0f5jLtx10u2nJDAwah8RPiRFruTYP8W8ikr/w9jqWUZwtpNYX+QifRlznnKdmT
DTFl5i39ci/EghxbMZzKmclkbosDPogLUoj3Rk7oQUbHhdd7b0kT7v0oxMtjZAsHR+vQxLey0+7j
0tnrRXnoMG2WjrNP9fAMqPJSNNm9k1Z8qPNwYZn1kVH/1PVpu5DpeJ3l/XYM4gurc+Ddh530y72o
efBM1q4Ko0No6TRATOZRYhEfGv1Kj6xs01GnEYTt0+ByZmmsmWNVe5adUqdm91D7xo0dy2Ma9zty
LDveYd7tkx6nul6fQumeC9l/buIJNCc0bpuyeeSReAzG5NRFxAaH001B2D+RXdFjmkUbYKnHMHW3
dljucif29jg7tk5PQ1Tstiez8FVtnMnWN9wzZV7nWg+/pbNX6ep97+tP+ohl1dMzysWM7oa6jIuO
BtUFMQgREkX+xAp653Y8q1FLaCZnOPMK5DbnZfb87aCx+/U5psX9c1F3u8bWv84NmXIxe98Zzidm
CGa0m7UivzFiziKZN2TGxispb5tG0zxgHyKww8mOVMexTkj3NC4TDCj8YxRFZ6vPjkE4DYukDE9D
gNUo9ou3Pm7xvdYZKeb+tir9y5rwAkChcZNXuqBvQjzEorsYSTAxU+2SzK3bWf0J4TLfpBj5NoZr
E+lGhNrjqPdn1nyXeoorwXGxEE3Dq6ExBsUyjPmecAJv+VvUwt4UHQnolZe/SNM8TT7jbxvXu7RM
tlRCDiuUswfX0Q8VVVlRBEvRaNc9lOHSsO5IP8SXPb8lmXs7s7q9KOxK7vWQiMK8OGmqESqoKJaZ
7Rchna1rBAvLhFdLWjI7hno0dikjrWGE7yknRGIJSv04udMFRKmxEYJMdJ36BnYtNZEAkYS15Gzv
hPquybunZohvK0b9qQvvgrrZFRqj7YiUR1PBlvd8F07ZY1tFpF9ZV6kq2tD7pZE4FKlSaGJbJcJX
eBfrc7PynH6nYSFvZ29fN871nIldHfp8NOKsVTWZa/10DVF9SyE2i0BwBTLDFaIghmtpOqeG+ERn
zcLcyNZoXfGDncctN3/HPRpFoAIYMpXbTVNdNbsM4j3fTjQKWv4WTs1bYp2/48C4dcPCpyXA9hZ5
2xdr2tFIe+jpiAl78Lu+y996HD2WUyRoprPNbGbSo0DNxgg/apftLogwyoxZyyOm9/sDWb8A3dr0
tajRW/kWL9IJ476Z1GLBpt+juSt7ZElmMLE7iOLYojeknrvaIk8cvON5eAGvI89FJdqnRLgAlPZc
a1Axg33dDMV8yLwZEmHILKyXYDwC9IV84lloF4NZH1BRrwyPgsQxWbvG/JBXwU1IhUlXGeHCNYul
kXmEcIvqKRjsZOmGw7oWDa7rdNx2BLKvzbZ96xOaeFPv2QrMUz9MPGRoVyEHnZKlBXkUd5JgiJXn
Rq/cWR90s94FQ3TWbfoPE/OIbQlAIaIdOObU32i0r8/20Y3zE0lPJifkHN0/3WgyZ0TnEV1Pnbdy
6uCcIHRkaXnTNkrGzue9DJ0Le4x3oiaNJpV7SnUWdqmnq9il781JzGt/yG/bkQdGOZF2URR3BRED
SBPpkaFzr+vayWdy5Si0NcZq3wZU7KTRPnSrI57IR8cyj1khDrXJk9b0iNORnxmMWZ2G12PASWGy
JQvdaI25Y2lX7TsVqReUAS4bLrqRuKTOzz5j6iV/xy/2pR7f1EayZmFHaRD6lplj8Br12ybV4DEL
TaPhEJzQDdfkWWyCHlA4IHO685tNm4hd3hlPvQfinIhxY2sl4g5qbMD1SIRQxd09faJ8EDTIDnEJ
GGs/RZnuwozUjuSBouOt6c1Xek/QVNqKu2kATErkY4kOyORsqKbo+EtQlz1b6aEDtDEvB1u/DELz
ZdRpC40TSSC/u038eO/Hur8JQ0K20plNt33ZSsE7HrL2wjG4WMJysFGWULgwHIh1MDneuRTlobDQ
EzLPWUWtfp1Z2kXWjsrDZm6aRqsXgR1BKjd6vosm59kekunW506zSrPxYhy9bqUN5eNoz9dSc54N
Iwk2Mq6edHwnC93pNmnTU6zZ8K69QOx8deupyD6iuiHahXWWLMGyThLEJw21+Uzx0FGKsFoZDtnf
VZ0zKRIvXk0VbCf/RDLqSvT0DsSjZLmQ79EMcDO2HcFI6qltW08jsAF5YIQ31KOfLegRvBRpfAlv
u7QSK9q70dxcyKB2gM5N4ryz8DDUwbXfZM96LK2d+rqTCgWzU/A0T+vefPYiSGRpXaMjxhe+WRCx
L/eh1O8M7H9zaevKOIOQUa70PL2oQvY2rlVDROdfgd9Y5ZgGw6x3l7bU7zHhp8iBfUZtK2bvp0lU
N/5YFRQnuJeJCC9zMO7MtaZjMSYPVeY/W6N5Q+RcebTNpMBE6JDc31rPc+7v/UZoy0SP0WB6/sda
JahpjVls0DK5SzJ43KaQPB1DK9fN21EkBmNEXaPWkutlGUhxpqOtDREH8z9PgPUdCuzAXASojKP/
NEAZsa6PhlHE50RK4jhPzTwufOv2u7Hy6jei5fsgOsWx/Mm5qJhR9SKOsFhamoJRkn//XTpGGhAF
pzVNTNPOXitOuhYtNOuuHe7+/mWYRP/6Mi4cpqXbSvD6CacJdN1nCtA5uBtfh/JeM/9xODsIpSV0
w9IZNrFt/fg2Gn9yytLJs3MxcKHtvAAPyh/T9y8+pl/8/gROGHxCfFAstH8yfYSuEmjtKj97zB32
le3/l0BZtb3+y5/hu8/np9+fhC+BfM/ng3dTy5cpVDyteejt71my+vu38ouXIuGQlBXPsrHQ+D/9
KTIPvXCYy/RMXQQGVvqz6Y0JrSWPYfzXf/9a6tf+6W398GdBbfj+6mLvmvcuzdNnaS7R30jB4qvF
PXXqN3//Qr96U9///X96U4Wb+GXn/fZCqOJEKY7RhueIehTL/3KtqV/65zflC4FtlacjURcKHfvu
K2PahVHy4GXpam6C7LUf13bw+e/fzq8ut+9e4ufLbW4o6Q5BPc+F95oEz5b2/7icfWqXXOqEDAHE
/eNbYCNst5bG3jjhDoiAm03/j5sXGzIdgg8eD1QMZuT7D6nQCs73VACeZ/d1cC87tfFp/8u961d/
dC5iWFplIBVK4/r+NchQkAWlL/m55uA3LdXGxb7uKexhVWb+lyv5F6/lUXxPaZzruQL96cfXigKA
RD+xi3OkZuo1KVQRsXEVmvrWuPn44//rOjC4Pfxx0/1Leuzle//6hev4t0TZ/Zf//d1krH7qO8ET
8ZTrCgIIL66KW/q2GkbwNDxdd1xSZTFm4vL7Q/D0P9kGgUf4AdgPqx//U/Mkzkan5leF06iwWfuf
QKPAqVwEf94ZSJ9xaaNVzRfsfHnBnyVPYtqkaQfxdI6LK3Ny26URMHuPrX8/zmRM6ROxc75RXHhz
dgPh8DbJTFu6rPgWA5jmgjAD/EFU1DepfyZlp2Tact78KD1lnf8wz9W9ORRfuy7cVJojF7HvPmcy
lwuvcYwlgvxWN/ILOl0pJQ96n6pVzro65fMZDwMkwfTBwQlAI5JDeFdQIQYGxBka9hN1mw/hNL9p
AUmzQervhqq7T+P2qvYt2k4CsdV975YAepJKx/Ay6NsDtA3l6VpzFB5D01jgqR9L3vO8Ssgyrbxu
33nRhqNHsOBLsyki7bGTDAisM4jwveQhtJkt8kgxtwVrIG9BxXe3Yum2qbzMY1fHhsESJPfF5yYV
DkBJNd3OdMXGfUBKomyWczXiVEvMeEksDrkhBc1avmY/5zOhjs4QuODpenYA64CMGUTDbj4gz7NM
Vt6glE6VSjlZKvdjXpiCbdYkSyYU+4FNE63vIbs8juld2JKdYpcstEcHnfReDAMHPXyAFaGdVatH
6yxp+xotNkwc3Fhhht+5RIOs+viCaX+dNtNWz8bdPPQOlYaktyUh1R46JebujJ86sMW95UoFsVnv
MrFPmU4XWt/OLzNNuAun4cKhnO++LYqXOHunEvVAhEoJvd/sp64jypeoGycpdqWha+solaoksz/5
OnEMKdIaYO3jZDmHXKJ15vb0Wgm7urfy5ibMrRuBY2+Qw74zxu2YJAFb8YAtfRzsqEAj/bMyj1OX
ioWvSXc/aZBoc+49aH3tYcrQNoNvbPUYLldtJb1g2M8+1C38Mo30YYEjVCNptJLbGHf5QnfxvRjB
xuxooNNig2TH7mFGF8hs42tp8pkFCXOPhxAfpPf0vz6HeX01RmyjxtZjaz0/NTX1rzrrReQ8OFn0
rGJsD3lHxC81fE99Oy2Y8V/bKV4TEnVki0sFnnx24qFdBSZCHWgsWmWd3XVWfR/xmF3IDshMd6ky
IoZGzjAVrftc4StZ1J1zqnHjzGDIukncyaSNW32alnnXvdheeAOLtnFFcTYt+zxKfPiVMxvgBLAO
lVNczGl/aZjhJi2+pOyqO+aLdTME2zIeVKiQxV7anq5ix8ZWQWKoT4Asr91QV9GMSxw6r3lA+oat
p+2SVB9CDEOM9v1058wtye9lBuxVu3dYjo8w5c+zF50yf7w2DW1LiiipKpX/Jcj1Xe57XEZuRZRi
zgUY3GXJPK6DxHinHQGIrxd3XMZPbktmqwjKyzZ2rhvf/OLPU71OtOGqDBCg8kZYSzbB5PwGlHZm
ToQY36Lu2OmYXU2pf5NiJFWDMXmgPRGDOaT4pnD8tzFoX9OsugoEJYeBawerZtABKaYKCD2xj9Jr
rKvZ9LbaVEZ4dqjGupWF+BxMhKCE6Xw/l+WFOYdvAs2iy7ppR2yCtm5T4zLCEbVoZNRspgxBCQvp
eynded1hssTOKjFatpW/kK3PJ+C7uETsrF4GVn0xC/fYGgImXexpwrqp0b0W+mDundm6JGL/WOa8
yzitVrKNdLQozSKfliz9KO/Qg63fzuT/PvItnrX/+ZF/+9H1vqy7+a+PffWTfzz2MYt4QmD8VwPx
R37cH4994xO2D4fT1x8+xG97TpcDAQ9hCkBtQn45q//52Hc+kX5owyzgGGFq/GdEGGDaz899joaI
347DMdRVv8qPh0OfeF0nxHRxLsa4JP4DhROo31hlcFgxgRlrQ+mgDf1Pyyx1M/j6dl/ZAjMfVEiZ
58MBjckkxwIHYat3u7AM1zTvUX5dlwisBW2FKF7rxE3ehqDm0aiU2r4A/syUeusqHVeTk39FFfu9
rXTeajAnvppo1imWrrAlOTV+RKa8y/O4OLsi0JblKPD9x+hy+ijiQ57REGyFlJL6/rUHpEFwu/Eu
tJrwbUMb7orK3znIzIkcp40+FmutGW8qAY9dymyfadVlX6DYWNXW1huekPZ4kbv1LfdYuIqpPDW2
i5zZmtsUKYA7SfN5gvgF7wz7tcutZmnGwZbH/C2o5yYaLcRUFCASVeN9n7kvQkTuchgHGmnQtryZ
XSoy2LIbUdXKWKzGtIuIOFIQ9HwThGLa2Zrgo+ni/pjFUD+5HV76Mj74Hl9qhJ313GpfkiTzF3FF
xzroyXaY8ZdXAf3YWp/SHY3Evehmc9Nl3pUZYjk0W8VXE/betuZNwqOhbL4YXvnV5X/XTXxkccVD
NhLNa9QVFjSzC5fltquk5FZmEo2+YFJalBklhlNmsU6cmh2m8JuJlfJVlYtTNSbjWqeRlSVM2azw
3xpbUlDuLKpe2QOS1KbZ9ww9/qHqkx3EHZH1VUDoG+cHL0g3SM3HpmyvhqBctRi9kYU35ehDi9vx
o281FrXWBq46QnNXflZt5tg9TdX0ZJT5xir6Fwsr0z43+5u+oeJUzMM7rzyuRzN7791KnMHQOd2J
6SoZOeYFaXTyOy246M36jb07WdW1MPZEejkvkZa7a6g5315PRVOt9ZnuaJtWrqSXlzAnmPHDsrke
m9IAiZnUMcuUxOTYjvfFk95AjKzJicLd1HihWjPYTDbB3GZQP/sWuzl64Nn+SV6CZlLZpbt6gCXq
bD5iLwyQUKL53pQlERLGNBAq7d56lcMCdHrPoipdidS+yQJC9B1C9ci9vzTYVQsfcZAawVnVv35J
Zunv29L9MqqYPkRm5AvwllUpmmuazfmI61NAQsPKJXjnQBEABDvrjCq11pgK1bPS6xZinPiJkbgK
yvCmTSKCr5kMrmjo7lZW3urnPupKwEbLICQnO1bYt9az7lQ7wvtWGht5WLbDkBjNin7I50TOitVr
2wv4Qf1kDrX9rutBelfqFilovTdp8FvR8HsH2b9PJzU//uen05mC2fD9r08m9VPfnkywypbCjqHc
lNdFed2/PZloMmFEoeHDcDwUClUA/u3JZNJxQniqxwPN+y309A/XjPmJhxwPE4f/LQ0p6Cb/AMKB
svnpyUTysErH8tFXDYuA1Z8kksoRUzy4eoAZWZBYN2epvxRk9x21sdKPhduQTafpU0fVfXSIg+nZ
C7FhSPKRzJ6gJKJsBpfQDxb568qky1eXlVyPSZyQ+uFE5QNRMuQtiY/sJVgLytU/Epkw29WvFtH3
722nB9gaVG6T3fRkd7O2Kji9byJg6GrdZiTW08JokX9YJ75zAHwFyKdVpPnoF0ljSddIompHxrr+
qhFKzWMN8M+OA7bEtJTQk8tuU+Glmpn4m0yVmVCRDGdNv0nGWlXSd8Je/TTTfyLMmfZznyh67cIq
sz0lsvsR6X5pOzWPZUGJStlgrjEaK7qQlrPVpXaVcCK9kYF3bFUJCw/6AstOQ4hdU1LmoQ3penIS
wF2pJbRpdOexbc5aSvfpAN+wmFhVcoId1hGoNy4Tp9Wgjc2p/pqa7W2c6bcEmeWUPOM/vNKqdD6Z
FihnJTehdKInoleXbkspTBPkp94iyMQso69uEyZLQ/LsNkqPVVrHLGvmt5pjDxvpMbu4NIav6pp8
20rVv2TOAjPhuAhm11kZoojOfUiWTyzJ5jHhodtRK2+cgWcuaTHA6BR6+x3WSkMAymgnEjc3ZInh
3u6kdd/4tIYwlfFYz7yNTq35AhliSc9LTTKAK5/toCsw6Gjs0xYFwULLZoLZ+u6rePWbqPL93uLH
I9dHzrSq8HY830EOQs7+8chFrvqgp36TXBr0nm/MbDBeSWL3lgMhJr8XA/97/zNRMf/z/Y/T+f8s
6E75pXOQn/x2D4RCRPCyIfwM7jMfqOG3eyCinGNZeCSgCtHEfG5P3+6BUIhobhRxCBYRP3CIzifw
RFRn20Fjx+3xz/K6PjoMfxDl6EgXJEzjJkH6I5Pkxyul6Sbb7lNPI4Qgp0Op3PdxgHsoc1gYKqoq
daedpjgrZrtr/II+5D8M1gCMNSgqC32HZBA4Lb4syRLdD3+xorgqxXPFgF0k+z0Q/fki9eo0kV3H
d8y7kIoFs4DCAmneh0BiuaLFwpYUiI/WbkAyvlBLtiMNhU/6ta9Ys8GDNKiTmlIR9+toOeMmGeRt
biT3rqDeZ06xg3caA27uV09WR+kMnnQCRQG9k1BC2pQa4aNQ2Rzbt0OqsTgNTBiqjvjZ2R1IoQhK
0CQICG0VjNaLzHptuk4Gquo3GeMAh7tSpSCQiqJLxgwVl+Dj7+D25W+kIEqhV6EKWEtcNsrmuleB
C6lKXlARDD5e51yFMnR68qUlpSFQcQ2k+9scnC+z/t5oKKdBEfUJ2SYdmnn/1lWRD4Lsh0SFQFAP
bayhBUjrKnsMx01zqPTiDVAxqVdFFlFMT2go5kknt4zrKg1TAD/XXvGlv9MjtDa348ExproyVj4V
VvnAmazkCTCWF/g0p6Xm+uvCRVwN5b7IystGNNscbi7z3cNoB08EUSIApea0L4mN5gyv70WnAkB4
3yAiI0ygwzpaz4gH5Pd59MI2PvRqhgJSHxaemqvgJPMz64K7TLE4uWQGgMY9Wh+gTquYHYJHICnq
D5RHDN5pNqZrvWFG0R0a4xNF/tRSvw1BgQLFBM20dVVAQhoYE2bNaztx93Cy27TvduReN6sevKj1
8vPoA9OOxoRLtF9a1K80A/RlYnfAp8mjDanklkS4Qi7hKwlpG2t2I0yThG2qYZzI7n+KW7ETCn4i
HlEuHQVEzZBRY0/Yrq5gqRFqylH4FH/yZNF1yXsCWdXX/G7aFNqklaiYMPircXa3VKa8GDWpdArQ
arvsNENs5QrdmhTEZWrWbdwNb4XWrPPmru5om0e2ug6hvyQUWCHnA+ztg+4nA0MUpCq8GPYMcgkg
yKgieskVUqa5DkArkJkJbRYp7EwoAK2CRPMDUa51+kBmZ0YMx8Wpe48G7FrZaBzlR0ZJ+43OGVhd
RbmF0XmAeqvq4SKCgssUDqcb06ZSgFwMCxdAzCV5cdkphI6ikrdeQXXmEFz4CrMz4e2yjP8M/m5Q
IN5Q53sPMq9viyP/5Qw/Y5qI0uB76QfJB2swLZ0Pvi/6YP0w9Dwn0H+FzbOZzPWvs9bsgB2fqctC
b+3XALTbxPReWjjCvMNIVEIWomATYGzCksmnSaGHhjILDxYNF1CJnqiI2VWgYl2bTzHk4kC7XKZQ
xtKzrk3YRhfG0VCw4zT3J1vhjyMcZFDU3t6v5S6CkIy99DEx0otQb+7dQuqLLNFvWphKQ2anCMYy
1bvHNLduawVf5lCYVq72GDUVdAa2bTDNcCIjlX6hXWbQwgHJyUVyKBXaGcF4NoG+oTKNDDmcYLlR
kQEOQNLDhZbwoZpPbYYJMFoN2t6CINUhSVsy1nPI0qFHzp/Ti9FvCQ6br1uFoLp5dTJhUkfJJeuh
luTQqmRovKSEt1mVvW+hWRuLtAfoVmFGDz20qw31SqRTxiQabHob3AUuNoWPFQqUnSFmAwMXCQRt
oVDaBqY2KtMjLUkvI6ytr1xuZB8sBCEXywQe1+rjTQGfCyR+jOF1Px7J/55N1Cjz384mdfFaf4l/
5SdVP/3tfCKsT8JUpwyfgevjPPHnjIbVVEcltHS1uGM3+Of5xObfcAihu56CCsf9PqrM/ERMggqH
sR0OPVgl/tGMZqgZ7PsDCuQN5xzHtTmdYHfVf5rRfEoJpc/ld6mlnoHIQPKtRzrA3lFpuP1HMG5b
tTU86qQRmIskbrMqGaomucegwNbrI163qEnapd0tpBEO22p/DaBKGG/HjKoa78ZqJqcXB2Bi8A36
LcOX+icWUOlHuC8DZE3Sb/sR++u1BMnXdkuoVKFhMVnM4Zzc5QhX9/jyEwMVU59uI+ERBGUkSbSR
FDfOJcPcjsgnUkrszn0oRK9BZ7Mde5DsIEjLsuU8La0CR/tSa6oCdEoirKW9fDbzKnnWbGnvABaw
kYo+C3DRi9BbZF4Sn+aGlSIWzjkPl17sBEu/NHAO6vkyN5MOasnNL12n6G9yplJyvlMca7Fb9DvU
KZssgsp7McjVmllA+uXM06pzxoXrxba7TKg9vtEEpXTLuc3jHTHp8+fc0PBChdbUFMtJ5yFIFKhv
J/jjLLMDvvd6s93aNX8QlBlcac+AzEKsU/auaysRXVSsCVEm95gMY4KBWJUO5jz7Oz9E5l5Psg63
LqET103dJy+mXzTXvtu4mCUdwYjI8HlH6umlbzaS9YvGp3lVaGGvr8NGrfXCoOyqfWSILjh7sZE8
p0zRd8h8GQktjmrGHAo9znb6R2mm5qkCzYrT23jI3dga3p3BC999fEVb4PQA+DyioDNWXZ2NRqtD
rsEepV7cPEWmkPW5wnPPI6pd/HvnYvzBbMWs+vd3rlX8Hv7CBK9+8I+blvNJ9xhbVMai7oImfCcs
ucxb2NnZOPiUYSs56ttQZX5iraHGrT/nrW8meIPoLJLSkYJYUfzTqepXwhLMJfgTKV18Jdmi/DhV
xXzrm4ilxQnULMfZQ0Bg2C47x04PeczFC5DQz25NUK0uDawBBSWoXRmswqjg3Idh/TWNVM0IzeZ6
9ZK4mRBXbOkl6/GeHeKi6Qv/nJftfAjNLov3mAiMO1IDNHsvGr3WFr6vtec8MINDOjk6DSJpmojb
2GWxeuR2lTWf/SJ0hlNtytq+Zhzb9qQMv7NexMVbxB1jiuV1hP+qxG//I/y7raZ2b2UGkwitHem8
DpQyNluUzSKoRPrRUMpZXVUJ1lycY+to9KtlXdXtutOn+Gi3E5G/wSw54/iB/9o1eJOJnwlAM1yL
EynSRHcVGfYr9NgLMPfnxOH0CKSVL6Vjv8s2fyctTJDfklfWF3xOGEtA16tw2Bezbm/aVOteBiiO
RW/ohNoMKS2Onk9bX8t59FFoRFj46RB8HmN8BhRVGPtIC6ILEqvzXSpq9xJ9aiTIXVZbC8RsWfd8
rfO0GJe2J2Hm2NQRKUDPR9TIlYOcQpldQIRBfvQ6v1zaQc2+wLbnfWohuFESzITpR1s3rvJFHRop
hlovQUJDO3JpeZWe/04wsrb1+nmXCQ6DqIPbKRhwqDR5uggDnM6NNT5ZkUWb5jBTGEl3byl8EG96
hdqoHi5Tc2QBHhFR4mcqpRgejLW0NM56mKa3KJTmTeE4xXuiW/Uhr+LiEd92jW5VfSlYrPzWofbv
ecv6+7sWw1Q8lR03qIJrafoTz1I/9+2mhdxjwceiXHOk+i0N6g8lyPzEGYr7GcoOgrRaxv5+07IM
GCw0Gl3lSOEXtTj//H7TsvRPHymxHkHrOncZtJt/ooZ/QHrfn7Q4t3vKFatCRRDlHW6q3wODBKyT
7FDTbTLWurspemtYWNLCD2cNu8glhayfIFwI2dHPvAn9qNMOSoYqvgvcfHr5FBMVfWIXrQq5zOo2
6RxrZ49dczmkgfwi2yDfuhncT5S5TEAsIeOl9DVsmLnQxqumztsz2aLWs6ZTZywCMkuWQSBwsRRB
cZmG0v/iEVU3jZlNJ4zQDgbZoNuZG+x96032c9azUB0MiovbJnL3aVfw3HY7UkyFTdaT2em4PM3G
eC/tLnsiZaTYhXbjr4haa157Mr/WTL+QMbU/bN2Ecoku6uX1wNYrY57dhHEoVz3zL1OyBv7+GZ9X
ZB0F6DPlK22Zdlsxt532boW+KhG0Mipiq6Ap6rMbSb7xIY3ht1HiqzalriGIpzVRnS49n/U4QQkW
W118qxgoyAjt5aCtbMwDBCRqBdoXd+TpDRtfhb6E2uRXwfjsUMH0yqHXLhcacUKbMHLsw9SRJdUO
5fxq2ja0UQEofwwHWKk4FP42kH34xpUU0/M1z69BE83vTjw+1TQJF2F80FwWq7lw+uVgM9hqcgjZ
GYpu2qaTpx1DQWtMWo70Nbb/x96ZNLdxbFH6r7zofTlqyJo6unuBwgyCAEeR3FRIHGqe5/r1/aVk
2RStp9eOeIteOLyxLAOFoZB5895zvkNs2GLMCtpo0RBE6yZrCWWsehR3ZVJ9EnbE3NvV7oykCrck
ijJykGR206nbrRU31o0TltmuVZD/0Rq0Ltks1GWmSwi43prFrY8l5BVzh/tFsQdlb6QtoPcxO7Eh
EWPd9uOmVxiyw8CuoO/ioyzfbKVA9VX6+TXUJAm2mq2nAC3Lcnbt+G70k/jCBp4NdpZ6WgM84w0z
/ZomAaowd6Ny4OYNPMOWuUdB7T8gnh3ucqJeV10xRjcKppBz2KORyTkawZ4XoicWoGGE0VPPtqtm
NBvSs6eBYwhk+a3e66+uxSaf0tQYB+MK6QPeFEKttNeyKOd1FanNwi0bSUanD/hPBfmtgkS8+usK
cs1s8jlqnn9WRfLgPxZkHQ0MimVcF7alfT3EvluQNQpL25XDRgwBfy7IBlkauguN2/3zUd+rSBJ5
XIOURQz9fx+lJGvEH5ZjLs9+YfIPTwrz9cfl2CSq1on9ej7N7afK8dFa/H7GeB7/Z/BKAlU6BUX+
fkokn+HPK6Dx4VlVB8u10F1O1uJDlQr0yyrH0tBOzagsanVtptGiMV/6fvvuC/jJdX58J3+9Dnvi
+42lUAgJryNTO5kIMbT6YrBffn0BSYf45Tv5MMUItCrXO85jJ320F724s903wt88VyF+qMeNSxBy
/1h22y46tyCatOiVY3kQnPUCWutNQB+4rQ6WGawc6DiBABl1MyACGYm++PUrlSeTX75Sbqz3n4UR
KX6LMoHPwlhxYIcI/qkjg7zQxGnAoUqKARl1rGQ6e0eycKzI+/ULkMzJv7wATWN7V/n6aap8GA2S
Oqy1vWpPJ6o/4jI0t04vEkwKrTeV+JE9N4Y6uIsd0FNjszC74VpLB4szMwllvarMXo24d6GXnYr1
M1D3AwS8epNmRJUY+8FXoUzqSqzdjUYWb4zEhTvkk6WRx/GKhLJdyQwCK+2ajYTG/LQJ51NvRass
AFSAwAXW0AZf3TnTz1jGgHA9NMiwg+a2CZyj0aZQcaxlzwxTJ5yMHQ6VMAEHcblMzFsYS9XSMhjh
EJkUTZrXYdO21Ww1lNupemhidEUKAp0hP2ituAJjHo/ZpsevcpeZwJ2M2VgV7m0rrCVEdk5aoxyk
BwKnUUVOo5MRK5ikj0yowccyzXVNv1kmgfgPZqev9pU/f5ZSJ//DD1+WkO9vkSFicNuOzXxSN8bW
380X7SdjgyH61Cy0i3bLmWoF2sib1oa3p6ZfF8vxUdkl63ajbqwjeZjH/3DL/OSOeb9M0AZ8/3pE
mnZ2Jm/ZItkVVBTDsm4WSNHVbxvWv12OfnZnvr/OhwXPibI5DRksnBQqoNvxpQo8YrkQ/9DR+vU7
0uRN/udH/G1Fev8j+NhU5H+uDTfSTyGDzTPm/G70AO4PDY0pLzihQP71BX+2AiKEoZNJuAONiQ9f
aWZl6KRITT8NxFjn85deOf/6Aj9bAN9f4MNnx/iOfl6g66emX3aUfYPiMen7D+/iP13kwyrrjq5F
KCoXcfvDXO1b61a3nn79Pn62Jb1/Hx+Wx4m9Gl2GqZ+QmYLexhViXbvxpRuO397Lf/ukeoye66Ip
3tr/JZ/5uSinmiTi9v/8+Mfm25/ZdaVv54c/rL4eCK+613q6fm26lId++0HI//P/9S9/P1beTuXr
//4fn18QoTI6b+voudX/euSU2Md/Xx49dl8+//wxf1RFmjxxcgKk/pER4nwFf1RFCBaw2kqmEj3w
r7Em33troCcJ/GIcACb5w0DAgagEAAF20jc1w9+KHDTUH3+7cnm0DZJTsOcxfuA4/eFWT9u6Vcdi
VE9tXDz4bm5urMRQDrrSAXzEOX0FbKbYMp12L2XWxbpAAOu1WATqgviFIR/p5uJvuajruVsIJ5Fz
YGvTD1DGnLE81kBIyh5LUOs8az3DctIGAdJ2Ekwz7FzfWcPFUZdlFGywC6SL3AWLaA/ibsjrrYjC
/LYKAhz5ZflMJ/lQdOVdrYFrFZkRwcyontNJZuk2ImcnGrYjOSMeCB60/SweGy0W4qwY1sG3BnfV
frUCDIqP2hF7QIpPYMIvgO/m2c+IVAWfS9dbmgocDIULBA7XLXN1WD0IqjNpQkgN4I8+M8+lH1nC
wwPPAu5PZw6b9arGx9DgZwjN6tKRBocyTB4i3bhtC7dcKnggSsiulCnBXY2QOgI931lYoLNZ2/r4
J1RppIjDcEte2FWucrAiOCXDcRHP7q2GAhhnAGaMWldv0czBUeNLaElZ8lJp3eCU93mSZo4GVwdH
4gSvAgnEFWSoQahnR1pAQj+6ilzQREo2oHqdJhUgVF6+qXW5V6380pmjQz8Vwc6Im+tOhkSNpkrH
os4gEllEOlspiSVlSk4ip1Va9ZzJc1dHw+wyjiFqtmD8HuWNc3L1ctqAWcJEYsU7yCLuMWjqV73q
8Z7MdnCldIBu58iEMdcnl9Wkv6UYVEjetUDah7G0baGpo/MpaVOJGSxbk+y2PM3LPZnBp5CEEU9N
ndOgFAQrWxxzg6l4yxJhMCWV6CD9kjNh7nUGpUUboe7WCE3Gs6ls4rEXJKZ3T1YZ3kNQ6fAMuB66
D3KgdbJekbvpizQnF89p5ns7mqRT5Qv80U1H63ovcuVKc8o3gSezCyF6VKPj5YlVe2pbM0hLq11p
ZfuxNVciME6TlpyY48iGoktjoog/qYN/Z2YM2tuENmeo2HdkhJi8bJ3IXL1ZKE6Hp6eCiNip6nU2
tXsV9EuVxNdRBFy7Sx8Htf4CXrgAIILXbGr6S6dOOrjXA35UNT+aDh+uKZQ9eEGxsVR4DR0Y6mUe
2BcIvp8dfTaWTTt9Kg2dPpRWrssGEysN8Go5jf0u8WfV63P1ckiHLyGf9UriGr3cApRR6GTc5eXR
BfFsOdC+aAIRX+c/t+qwtmt6s0o6VB7mtwKwF5axKam8yU0TL5/Ml3Ywj0Olg3t24ovKr3XIPRkh
Arq+oQ385MTVIcvyOy2Z7zWlueL1oZSU8vzBPdZjni55wctg7gdglMnRqUY6aLN6jYXoaWrd8kTf
hzCjURn3SjIpuyIb0PLQJOsTtP50k8IyuXasnFhmcNYgPA2ZIm7zLHMdmltccavar/AGGkq6yzLI
jip0XKIeLa/SGkIfChtfW8FNPKG38QDqnuKCRAh3KNKlH6YY94LxKkbCi9VOfXZm7Xer8397o928
FpeA+JsfN9b/n/dZ2aT99/uslAdedFHzr9OXqCl/1ojg4d+3XMDNyANx2rqINUkDoHx8t+UaAtMM
W7JKYt2PM3g2QFoT/IVD61jKB783IsRvdHJ5mEoIzLch2Pey4/ytDKZi+bd1+Y/FKxsuliKgzq7g
LsBW83VC/87RX+toYNnygxMsk0WjHyLxu4T031/BkgX3u4IcG5JjEJOAYhWZFKrvD3VfphWqW6bT
eAlsbMccyF0D94jrtZ2Nx9EYrWFp51OzmTm0ruCTorXTWgf8JkRBchBb1zrate02TL396tjVilPh
QzSs6mhZijquBDrHYKmWGupA/HWrgqyPEoJ+BmAYgPFmRACwqQEwrQbN0jZ1KKpVUwwcYK0SlW5v
nWMSfTdlQqpxV5APECkB2UxBXcTKJs8ARtzk9Ry+Zczz18Y33InT4DglHldiUNyUP620UqBTDIVk
pbRfuSllNVZX7ciriKoZ0Ktm0soNH4xSO4RjCD8X59AigVtm9NUGNeTF0Fnawm6VS5rT92Zi3FZu
c1PjZAry/t4yM377VlUskkhcVDVeC1FdAAtDyR0ksOW6CKmDdSDPHSA0q0kfFBhUkUSotB7mYtrX
pvpYxjEgtdSWa391qqFXbwnGuuhG9UtoJdMhLA3bEz5GECfVXsOUhWRy3dWEJnDRcqaifwL8uB1H
c5Mb/nwg7v3Q+8pmJNq9BTi9yVKzXpLfRtlTrqohOmZMqVa+AXwwCEtigeqdX0fXVCUpeT5mvgyU
ZFfPMhm00XZ5M1K5hNlNUbeH0BgHlJKq9Tz1SeNNdTB4FKjrseRWxbe1Eigy2J/yZUYW2FhWx0GA
u9TikI+VAR6uOXjQQWzemGIqQBALKHM53sbcd3WiLwWztak9VlavoGoHaUd+xaZI1VdhdS/o0h24
r1Z2MNyMNniYmNFVmTsZYjIRmex16JxsBhUus9dN46jPiRLuZouICs2+axn8paFvLRyMpH6CWcvQ
LrAPX/U5Xk0SD2D0riR+J7OGZAvWbuMMrb6sDD54M7e3jdp/YuBAgBm1hu26T+hcjoWKUS6qxz3d
w/PMk/YaMjgcrrPQgJIrn/VGe1WUcUemxIXhK1vXvh/9p8KZ97C1nLUZB6vaNu+qWUPVOX7pqcq6
lqh5AXjI1Kdz4MeaZ+hEzuOEf8Rz+2igVl7Wg3bhijzwBnGi3T9lIvTCuTMoAKs16PVbZ2zuRNKv
xoDDthkGZ9GjnAUVj6Cih71Ia4FgbLbOXrsvlfDWcbI7pZQ5tuzRQfmm2+O+cpX9OKpE4sXWninz
JrXSbuHYJLQVGiLOTrTXYoghUI8HM1afCCeB3WTQ1IQbGq51LGaXmRiT7ahk+mPBpOWhcYqoJq1u
8olB9ZPr0bebxTim2kpARcfp3YbLSpHMulRG3bYAFStdUZcDP4uLvjSjy07MjGfSuvcxWJWW/IVp
SEkXlUuQiFP5zpfZghUVwgFXGt1a9Y116Yek+/hp2S9a4TbczIbMYurSAyMW8od187pVVUwG1VAt
g750FpoWH6CZ3WRlAqxwKMpFXzZYp13xYFkALK1+WXXKvLTHJt874BOPfongd5xh0idW8UUEODCs
agr5ySEvFuatGpTUjfFEZOEUXMQZXsMp8a8gSH3pRteLfUAAMTwGX1FvMFs/Gkb5xHQQGVO87eP2
DVvXKTXp0AU+BSje8Uc97tYgDp8KbFad0wA51yit/EH6AZvcWcRy0uKby4mxH5zCVVzpL5nVjpsS
2Fec94+94UMDbOF7Rt1T04p1WfM1J5xyfPuTljf3Zpd/MrUiW7hjfDOm00XuDtu2QvCsDPGnIJx2
0cBPdByPPaPGIKOVq6bWddvOJ3JHHsfQvCxi4Tmi/zTIuKUBWpYNfLcXLosFJwu+jVVuJU9zFTGW
ia0NbUATVRh20taJAKKPiBogOnuxad3g+uATTBFoB7l9C89g3xqgr5tIJcg6PFQ+rTIF0gVcxnZb
xMEnc8JIid5za2bGiuVmqXQjBE3efRbaF6Bbt3US7LXWfHTLHsNb4ZVOcmKYvEU1ypjJJ5NHTz4r
DpPBIdp2MEUXVed/Vttkz2e9jOYRW7vu7kU3XTWlyssUzT5WlW1tWk8+Gs0ehL1o+xsfEiyOgHlN
CBBJXFF4VsX45qs4XIivfVJFTA93jo6umW4qv7rN8nZeJnmx7UkE3jpuNkGGlLx5HZpn9GT5BQRy
wrh1vWjXeaZqi0KI4Uw7IFw4YFlXiVM/5IDE14rqnFRqT47hVXVoNMId2nDM1piHn6MUgAXZYMrD
UFrcLwjhVpOKqMwQUfoyEtiy1I0s5HQ46ceBPM23d/XZ72XP+2nIh+6WZH0JgxQMqhASmTTrQ5sT
06NGJe8rl3EMFvI+cb8I8+/acj5cQlZa7yqpibvYSgh9uVQl1d8+deVpjP9DJ/BDB+33t2GpNBkB
TJvSxPL+GrreTdngRsFJHdjlbaZHYPRuyXr+9aclMU4/Fmx0eyhamQxYulSH/niZoIgnw0764NQh
265ixHGgJJXqrhPngfO61UDTNL+hpf45SkhRxy+PEu3nf3np5/onnTv50O/HCAn5QRaH8NaUchDp
qfzjGMGoE/wbkjQTRdrXaOHvnTs8mg5ZkpT5grbaV5Pm92MEIAD0KDpUAdX41gr8cGz45THiQ9dd
HiSkQUjF0IT0AEPoBzSYrQVamtZmcdId/IQ47iSXZ5pQ/cMt0cdA2w24tFP8JXmWI8Sl7HzM8J5Q
IawdpOsFnhQbbWdsKqdZ8VeqyKhUY7u4SKWRJY7q+0kVD45Lf85pZPKW0q563C/fQKLtjDJBmmKK
2L4aA6AZi3qOS3UFnBK2omNyMNCIY51lLiuxSP0m5ITsJaaDF0ptQR4T5DrHNZEKAZhISO2zX1Bc
kAOy7WT+q0IQ7DiBh5wmKDiW25jLcCS6pe/Vu14GyMbTatBJlG1dkXjW15RZ4mbBh4cc73neSmbR
dj38GrjJDAPz+NmNXGc1yezaDgDCIiXOds6Fv0tlwq2ajasiJwtRLYz0YJrKcAHoHFcREcCeqOM7
lGfsQinG/DqIT+SPeTI0dzHMeAOs7pZTh4VaubqTp7sSXMECf8qFIHF+bVR+hzsr75a5kpbUDGrl
uTLNLKm6Y1nGJficIl3PvUISl7mH+kbOSU+vXg4xB8Zn86BtbaOiAkuil14zjkE+X8561hM8Qs+r
i+uHtMUP1BUdx5XyogudeFGq+F0DGlzKjKytkGnKTcFuVLaxsUx1axe31lXiTyElRzMsiZhfVbRF
1jTVnisdnqmuNlBlhpWolA34iAuADict7Q4GXTUvE80BgQr81K45V5HVLiA5aJ5K7bUS7IQNBWwT
d5uqMo62GTJRcwvFgyVQIA/Ml0mpbOpYYVxUNMcZSefCJBYDYrV1za5y5Pwq+c79SKtX2J4OtXlh
FDP2T9EyV0pUQHIDJT3DzNGFv9fH+TEQ/tNU9dM6VZxNwCkbXY16Lyo0n0ZlwwKMl1PVWksnCq4C
amxtzJZzMF5WjftC8wx3GygC3K/WLqjonc6WedF2zSkqmkq5Kgo7nV/RSyVbO8uQPpb3iR9UHpLr
QxPN4ph3MpO0dR+LRL1uzRq0wIRgE2frHKzBFOAyGsgGV9a1qh+KNLyMimI/xs1lXqTnPqcshi9A
CJvfDTvLN9842nQx9SktvKjzbYQveT/f6NZ8BDZM+EYaDcioTGKbDIvrik2ZYsSz52YFzmg7zMa5
Nh8bhYIu69y73NXw0ASHWie/J2vN3RCScF/O527Wt34fEWZsdlcsdosafpGum9irI9y2fuWfDfDt
2B04CHN2KbroGtSJDDm8mcsRp0DNySQcIyqWuuWHkpEx4waascayG62NxNrg2iX7hoKEmiZ0iMNJ
OZh33DmkF6D6J/yKJnh2JnLlwRb5W1GrL5mjQ4At0vsZCa+pJYQtViD4TQPHjirpD5AxvjiSB0EW
6BEKLMuEqp4zyYyA0KSdBjASKMIgXACW6CRhIrPGa0MyJwzgExS+60qoDxNQCgc4hSspFZnkVTgC
cgVOtU+5ZFmQebgunWnTA7lQy/rsAr1QsevNkoJhgsOIJReDQJwt0VHuHsnwncNwgyv3HhOeW01S
NULJ15grSBulZG5Uin4cJYXDBsdhguUgnybC4gepw4YBq0t2RyQpHiY4D94r9XJCGoNLSEQomR+t
pH8AulxhJHgL3OcIOEgDJCSRtBCdnyCg23TB6OJMTuRalWQRXzJGSkkb6SV3ZOjjTShJJJFkkkzA
SSKezpG0EtPEyQ6+hB58gr4foomQbBO+UCgn+ngtm7BaVuLykCQU+PJbcLgct6lMd8yRPF9Bzg8J
jEYaXgj7Ca9hRGoGtBaJWQnEuFbC6kaHv8L0s/ZQ2XXA0zgwuVBaEj0EsdYYG4S3OCeqiqkBpkBd
L286GC9Cwl4Uo9p00F/MpLzk7JbuSrgwQTteq1OxIrRjovy1DwUEGUUDJRPOU7ceoMskLlRj8ryv
OB/EhNLiqvxaRvxTTxlUFr+sp/51/Azs6q9zUPnAP6oplLcO5F+wPXRSvxIq3lVTtEExJNku9LIf
jFH2b5ifdCanUmAjwUp/NmXt35CUIbihLv+vqMNcHYu4qTNWtUlr+bH+brqhqzJrGk5qca4DsZpi
++9V+KjDaOqSjmPyDnXXFB9astZgE3ttd92pETEH5XtFPbnQ5sVW8ynxMQev3n0JPzl/6dKF9v5M
8ZcrfqgPdYy1Eae+DqRzh0r2K/Zm+orAKSQNZ6gLZ9+3ZnlpSVZOY62teKpWSGF9c9VmLT0FydZh
SdR3llx2J7kAaw2QKMMJL0zWZuZ7iVeyWvdK8uayepNBcS7kcm4XpKai+mSJl4u9IZf9Wm4AmdwK
BHtCIzcH07QN0BNRsfGnMWdwwyZiy+0EBwIscx2V6EASGDuO0/cHV25BdtRfKOxJVGDsY74jLZrt
Ukys/9Zw5ZO8Q5fF2BaFdu7Z4XTH2uUqBnCCsQ8Fe2BnKHe13BT7/KlnjxzZK3u5aWoEWhEFvhGl
sw/lthpaxQBCn63WD6dj0dnzjd3iXMOshlXrhhx0a2sh8YoZb24r0mjaq/mr5qvL6rE4pUiZWtrz
l3k2YzVrOPTTQ6+wdzoXFl4RwjQu8GvvxgTfiOuTj5FcTrP1iXRXS85WIZMY7KF69CxM9SVVCnM1
mOI4lmLvE0/XJ+VF6w8rMoF2ZPOd1bnycp++xThdEOJ7wYIMlmnOVC8wh0PTq58qsriFwJOf5fMd
cY/Bws+m5DLq8nOetBvSDy6TOdmrRWIvxtIitaSt6YmM1OuQW9SFAEXbxPZd1YLsiBU1WOtZCXuz
G1qKFr25cqJqukgJZVs3jn5Isxfk6CcROtdNxwBdw8FD1Ea91kgl8NPo3OXKzdDn6xCz7YKMtpUT
udho2xc7xBmiWfGVTnKC22Ud1YVG4okUkk1XbVdwPGb3tQaxGep+rWLnaGlxZJq6LIrihoL+nPkV
uYwjtu42TfrrcQqvLV/b1XA/AT49iCRnQmnWpCwoSJai+i0HXQDqbwP0FD8OQgTY37Sc+1d1CA45
eSSVYJbHCkaGDUcFw4gYnAxMhoMz55ujMONtZWabUTVXqc3YefQPTVPQK0IPMbcyXuSSjslSx07M
QnE1YeaHVoBe2RD+unKNe1ETXs4vxKsSOAe5mU7bhFDOXZ1SgEQB6JRJ2SfNfItNj3zotL2M6uIm
7tVlHNMh6AgzZhPWP7td/Dm2nWNRpfGCGILEG5p6WvjNQP6v3zvbfzY9lmpTFXR6frHphZ+b9mf9
Ax71x46nQQuEGIOEyyRgVEKC/9jxjN9UGMHMALkQ2w6bwXeDivYbQeac5yVNkK1P5Qn/NKgACDAs
15GRszz8bwGEzb8KI9H88CwADU28bAxLf9zzdHnxMq3SswpmDrlAhyBSDPfMxYJNWymnMmQNpno7
JikD+3pyttUUlNiF0Rz0o/PKQYCepnvLj4nMCA1R52S4JfIJQHuOsXXSbm21/iojBHTgpJYRGYKQ
jmxMQ3tsTFQbETeyQRO4GSls7fhIMMSrHYerwTVWrQJtc9JKKHXiGTMPjXWXYLWmSDwlyrptXNbb
2nUPDSOWQjfXM6kghD1DFTV7AjSKO5tNddDDjimWiNDF6p9TNNnMZB9C0i7Wtu93XknK+aaGdeph
gSQW3Wr25sjI0SGNttUZ5xjxKgnjGyDEJUHdHIT7EmkOpJJF45TrwZLEU17cwbB13ZudAY5ajokH
HN3JNdIXPWIAN+kICKOAE4wy+bckrkJl68almpOUmDfxMRFQqiL8bCvy41IvLG1kuGMxAapzVoky
7UOzZWg3pHecKRVMZzlVd3EV1gzdcsfda71C6ozZHt1cv604QNIJumInVVadnKXQvtyos/OGKYjZ
np5fjSHtIeG4j3GsXZOzC0bOL2xqdSMjHc64nbPoMSEKaEg5SoFhoMsekaoFZCKu1DcZ37aF6QqI
IeqmVdhYGKh9gzi98FMY8/qDCYbWDJXOs4jn6CymK2VuCJAb3WsRJzulSZdDUC9E1IB4ajXaLhHX
UVFHT8jPAFCGDyTRX4+1GL3CweozG6R1BHayqHKQu+0ETHmIeVxqtC5HkURssqI7FYXDOMPne2/o
gGhjtVCz8lHroos2ji7qiMgVJdCYUVqc14Sec+BoCNnLCL5dxG258Y3iEgcl8UWmvUuVBuF6E12q
cfFYxVW0rlLGj+SlLUeRs/PwQoce8ZeW9ttKU8+63nilOUjjI6bNoNs1eXnXKf2maHKQDcUavg4M
2yxqvKDp3ZWQUh0rDemsqf0DExK8OTqpsuNmiEpihfMKKZxVnIhdZdJhnwuKHC9x+xsnSdctsVXz
ZdsffSVaT6q7C8b8pJn5We/9LWOkk4J2a9lP8Fkk6bMjeIE9c6a/Q5/QAkfJDRr5Htoznx6ZxUfO
k+aZWXqOpWc0p9juMrV/C5MxWY6ZYa90uecYSfNljBkYFM6bHY/drsD4Q/PHdTdabu5CjdnLDHeE
8xoFyQIN3bhheAhddDR8r7DDYe0qDiUNo8pgDOF6YyFaZ7146UzmU12YvBRG/wA74BknV7xCWENW
hDGcp47+GGZOAmlbq12xHPWGx/iK9Bk8Xe2BtQeSjYNALhqrSl/kWbszc7bptcEM0bzr1cRxNqGo
GdoSj8xvqcq1Bcmp9UxKfTBqKydXBIK2HhPyVsB4IyjOMOfokiS0qbtx1Uxrbwa3VoxDN3bFYTDh
8TzUs9D7U9KW2yLg0F3G1EeFSMQ6iogPqtT5s1YH1w1QJK9Nxr0QebeulXrcOIp1MO0RQhLalUWX
Ws9VUTSUWxbUkFg8JIrleGHPKF3Dc7U3Cm7mJHfwL+BcpE1TPJW++AymSF+2DjJ8YyZy1g1pOAAt
oks0MApWYe3VbT16UzIeJxJjx8iN1/TcjiKvrxS/O2RO8UTbB+SLQaVEDHFDt5aOkEkuojHumf+Z
6sB00C4/RyRGWRJk1eomYD/MPwugDTeqHl/6DXFN8fSYhvrbrKk8S2C+JX12DxRgqcx7fRrjpTCZ
yQf1dSI702qoMhMmzuuQhvZRTVJ16Y7F5yGYdyEAFTD0I2orECcLbsZLy07mJQ36YKUqyhX9en05
ELtImdsdZ3XiTDD6Hp9CubVzWm0NI/uNIXrWdnDTthvZYNaZ0zGIum2T5WwGn/Qay7UjYn8ZKiBw
ncQduDh+TBcYvTG7mjePkgo/EOY9OBTy2VgOhPQOF6XT6gskDgFuS/sUDfmRBgcsutI/ucggmqwB
pdl+ttxhWqFqvJmQmwD8BKbru2wgMHbu/K5rlt2Qf6L5vo8VIqPtbn7oKjck+swS3AMztHVVV7y6
aF8b171jgV6rJaaSLJQJ7sbWiIs75qMbJbJHrw/UXTUY594pr12z+BKx0S1w0F8KFZWBye+up729
8Wet9ky1Jm6yZ0toh2ABvCxGY5HsXHOS0pXcI5q82jRmNHiRaE5J1J2pRNa53t73mbbFhQgJtdO5
ATsxrhIVSqOqORWNUBKtlIC/telpLa2k35DDpW0sznw7TJmuh3f/pJZNzPys3RMpDjHYolXWjHcp
bCekLmyCLFlrJZqDjTJoBIa5lofvj4kCvzRskvrZ0khpUxrM+m2uZrtZJ8Kgx8+KIqHyiaY0dkJE
57CLOViTTK/knFpY5FjgzGE7Zzo/CdM563jQiYMysqVVjM94cD6Rs3Nqcvt5FsbzaKlr3IMPRRI8
FEFpLVsj2vlZ+aAWztYQ2GE51hgxcdr6lKA+DQ96PXwOcPt3NtbEBHxAF13hkCR4oVVvciEXccUk
9ZGQ03/K7m9lN12MX5Td0Wv907Edj/qj7FYR3MPggfgHD/UjIZBvWUdur+HO/jrR+z62c38DvUOs
OJq5r55xnvD72M79jSehOWTTjGBAy5ztb4zt9K82wD9HvbIBZOs2TSBGh6qu40X8seyejTAL9SLC
9e2oNGazGQme9lQELzD9ZwI9kEDnF4QpkstJ4sHFUPLfa90+WcD/O0id6F+uU0IBqMRQU5ES0CTh
Q16bm4o2sJE7x1LmCTT2I6J/6DgEDcwEDrQmUhyaqT1rSHdXjvktxjQAf66aelXFNI00tUefCAOL
KANzilcZ0QYzMbcaUQe6UBAAEn4QmnSCZRpCMkfbhpbZIiYoQQvs7SCTE0TSyn7KI9Cyu9kpLtwY
ciCr+CIhdEFh1avq7j6BwLcQxDLUrrKeiWmIXGpM3tmmdIn3oLRiPtNahCiz49nEPLQRgweFRSrI
xcYmCKJueoe61rmvBg4mEsa2mztyI8gcPcRqilJjULZErULVjmofLA8iMzHudE3GT1jXQ9ldT21W
36UEVKQyqcKqnH1AdIWamQes9wAy1PFIGqIJVdVWViaBF22vxFBHu4MgCgNuBpIkwjEm7QV921NA
ZMbEwBP+Ks5wzgFPiczVSBl8EQ33ath0K9AX3H1FIA0qaRwKp/5W5nNMA0kd6jhtY6I7HGdYlaiV
yQOm8pHpHsO3pA9Se4n9aMcWrq5vx8WmNelQofNCnD6LUm13hcMAtbVdJql6izypKtSaui0SQIKa
hkr5c9pXAwM/U29Zo1USNEeGIWQ860W9BBBOQ5+JANumC+itgqFdGM95WFcLxrD60hAYFRCk8G8D
eq25ebb8jpFEUr3hjbQo3Rmt0eha2NrUE6WXXNtzOR2wnlwqoe54LYnSJHdTayrhQzqKx9wZSY4Z
+5uyS0KcpaRfisp8icvmjZLhdW7pWfR2eh9YglsBAJ/aEz2foJetcyVaxUNrrKCKnEdCL5aGm2xF
WD86idmu4fylhGQ5j1PLBAOuLlote3ihJSVBnKTJTxnnhjxqHE+N3eCYBsplAO4AdXywJ8TvRYzQ
tzPuF+aXUO0PVp5v4qK86g3OptTEd6WIyoVVBFJwuACowmxDtT75Evti8l8cbfgUzNVV5KfeJJTm
Ymgec9NsMI4oxQGq1hwteapxQRDIUqFvCGabklwJG9jEI0C6waK/FlbXnbRiJGF4mPFmzHg0Rrwa
FqR6wkh6DrPVlNTP/+wrX/cV85f7yj2gke5nG4t82PeNBcY2ACRWbFhgCE2lqPp7PwfFOa0/JhEm
3Ldvw43vG4v4DYynTqtHuP+XvfPqbSNL0/Bfacx9CZXDxSywTIqkktWyfFOggivnXL9+n6NgK9Du
7qWA5QLDuRi0ZZfIw3POl97AVfdoJ/ESWLQ9GFyqCQFLDDLEj/5BYHmLtyKs4ElogCcnvCkGukvv
uv29jGZXWabNaiQ34Z4Vlz3le/IXpEVmLG/GCo+/CDMLHclwk/glv+fTKrhAFCZmLiu5MZyryMce
CjuheBgPbCIy1gp12uiHAOzGS0aIdAdMRC5D2/Ju8iyEBk0j51ixhK6FVRr9mT9oF9qQtWSOg2dV
2KGGlfat7QvTRva+aFuE7DN91qJsODFRmYXzGTMsCfI8U+dZF+N2DcwT8bigctOvQTQ4c8MeS3lW
pXdGrHcrS8/jU70hh54qeRQPi8zttWlMfJViQOkMFLpMO5VbxYhO2jg8LWtQoZi99VPfOdMU+cGo
8vu08BZIaHyxQOyleNMbkpntq3QYsMII5g63uZNQ5yaH7jAUMy1KsJMvlVk8FN99279gLrBS1Px7
o7WXseLBoQZOcmNFjIUd8BlLycpLUAiGeRQHDgE8QeFuhApEIq1918MK/wHXl1dpjSA60Gsod7Fk
IF0iSNzOqkoBb4yq3c68YFT369S6GhTpa6z6xSwLfQaode2pxFjGMGwLF9ETUo85bUgewYRYgbx0
Veq11s9MO/UvKq+leWQpJbFeRi8pDgZWETTipIqacqZLJR0KnC8KRJuOfAlD7lc53abRFYfs1eTq
cYuJzig0CViJGtv6bYpUDCWkP8ZXK5Ra1zRKlEtGLxMaVdP6ID0g6SdYzZG/mZfzdGIc6QttDoZh
+pcEXTGT+5mqoeGoWRaNUfSmGabpiIu9fR8IwXeNhzXVylW9I1Tf+2nkFe4k73TqQCty5gUGYYxo
TCAViPAuPat0jxS+I1zqaaZZw8pB1Qt21PgNB2VnUakAkuo6X7j2+A1zIljxLnHVHfvrIqZ9oZbF
MLUqwDl951LH+RT3ht/P6avudwoVGuLxhY54xWg4B6NG8QNvSkeWYFKgTYqqHry2JD1AI3eWUa/A
BcvnXeedqJhn0EFgXo91NWz7EMxUW6y63tH2Cy8EFaR5Vx40TyqjZdPbMhj/fF+O2GiWU9CakcPL
33/Fby8RVtYBUIdUBvcl/FbNEbfZK+imMyK7kyduuZJbdA24CACwlciPSYE/xwBNR8jMo/3+o1LY
tKvonL/9Nt/9znffptS3VtlGXrUqPA3ZeDoNjZfNxso60JOGeYlL98MENmaRBhlxBR5JTwecihtg
t5JxkgX2VzlAaQiM0HeXNg/6CEs1M89ld7wzvOJb0gXFrEAV8z8qYMpTTGbi8OMb/GDR+KUBovlA
+H2nAWYIkjbTl3//i5sF9RiEC8n/uCQY/3JRvAnJGvwvDClMxFV/jlg0cw8lGKjVsjjVT9OXl5Bs
7HHeYRTAxtY1CqR/FJK5Nd9sOUPmF6MxJvMeUBqDWfZum8OekouU7vRqjIE29iDxkTPiKEaoL8kt
TJ8yFk1rhJAzdxmUaLwbSldNy7Q9S6rs0MLsCQkZoMBOW8ywsTumwbEcLKDqGbNxCMP3LY2+qZS1
FhNZJnxupy6zUTAFZNObJpVwiZLB55vfcJn46hRYVdi+o2MlK9PwksYFDuISrCGf7B6dQ8vDQhyj
hj8NO/2WD9lV68NAyuoqR4vcxK2wPkyxmaod6dpN4S4BumYSumwj/4Ra5FuVkW/gFHlG9/QuRn90
nvDBGFYixEfxcNQo2U0yyAOypRpDolpkKnEHBL67GtS8nHt1t9B1xqVqiK+k3gUxhZ99X/gILtux
eVLV8ZcuHaOpjfa3EdkX+C3eA947oxhCB4XxFMpfYT13O4TA8vYrhOo7t85u3AIlhyy9Qx+IIWlU
evMmxWqkspIzL3cOAr+a6KH3LVYhmeSxnc86M4qpFbO7TnHoTaF5nQzMwnNVG2cDQtOLoGjLKajh
k7qKsEh0T1IPZbUgLxcDoAG57I48xzkQ3BMkrr8HeviA5scXDbqWq41fE29MZrJQK+NLcmQ45V2H
FYAqhwXA3cI8N9tq6Tv99xin4RmkEcCXrjxtyrCaJLJ6rXvGhV5jC2AH0RfdU783qtkeDnic0NZr
mgV846+JBPcq8ylUDHPR1DBp3KYO9yk1bsBmRAskZzAiEmbomITBbq2NiaxTiozRQrZyaiZb3i9q
P8MVD2ZNk/OtgSbrpiqE8kZnZFNAcDKxJNh3q/w4cJPiaEwib1aGLmZg3XhhxcZ+lxqLptCLqT66
1O9RAAev7pFAG6twFjfsOAM1sqk9somHiu8wUXNv3pXjJaxAfmtqw4hpF67cXI62dhR0TNEsNabP
W7jezIvBu8Gpuquz/quNtwSCjvmtrGQloGR3Wnbwejs5AKRRIlwu+Qcyvp0zyWL4L8vZvjnImBei
iQKz0Dmo/W5AUt1+SMLihLYvZo1VmEPqrw9NbxhmagNn30uwJS0MABhEfHZjMjG1+rZqHMjopYIP
5QigMulN9VhPo3TW057yDmPV8bVZFHXXqo1B/byUKj/4k2Vw61O1tsA4mIGhLUz8E9MvFpoX2Qze
zqghmR9X/hThY+sMYc3APBsKyCVa0Xs3QZPPq5gtNBFqlqu8qhhimbgFUt/KhofAoONd+oUseHZG
fw7x8QisaqDNe6vVjAnu1eOst3EAOGww7AFvEsAImUKcjZNZNWB62sUAXs2+QLJUU79GHXbqS8j3
DfdM7OOAZlp3socg/zQyh5K6HxMwBw3TSDeKeRColvdFrq24ulHd1qPTrsGsh42SmO43aH2+vpRR
6pcmeEg2+X9ao0/hUkDGfh0uL+s1PYsYndePIVP8y5eQiYGK0GAzdeOHsshLyITwoPMjVQdlIER7
CbQvVay9J1uYmCLoyySbG4MfvYRMcHgaQALB9sHWUgXm8A+qWDSC34VMwWqAWkGtiIo6imoiJ3+V
GcLH0qKyj7PThkHyuERB3AhXxNhQndd1Ep8h/9rWU0ivKyMvzoC53+kIV85LNfnSKkD9sT45KdTy
BhzSUVylFwGlWC2psFFDd4l31jLvwRCkVrfvaS3XVRWd+HJ3PYbpgxNU/SRr1apjV2fnhjculAQc
m48oVgMxb6bqwHDiOlwiTDnpAXDMSq1NlVsUuiaYVnjxovNaWzmULa0MjqB11t5+pEhQTOXWMcm8
cy2E6imBu5iYbX5oBVayX1jOkRnbo/5Fc2uwvm7ShVgsOchhnpRhUN2EncvIv9USddE2bThO6yY8
tqrUxGDGMSpmU6UhzZzKLnHpS60WAlGJzvE8odXtAZLvbxtUkyddnF5buYF1AzqfdotLTB6Y69xF
J9nqClQL7LhjYJotAxdyggplEAGTYF6M5MU+iIzMba9U2f1TKsfD2pIuWkZfadsd4o43ayVoUZ2B
kpFJgpGb0zJWwRYE65yOF3pXEsG+WTZWinCnlB/YvsWE1VEu2kY6xHJpDnBtZQteqlaiCN4dYFRx
BLrigATqxHPSVaL2qyYrb+WhunD8+EANzSum4fBALcpB79TEM2VCCXUZ57Qg02AW5/J+Z1QXZc0k
r6fvaerXieBgO/basaujOOy4LBNNRaHqe4pthx6bK61r5gy3QQCOUwVSghtUZ9i83pQVXNDGnuWS
gqGLvxqz5NSGu4H74yoFwVn16vXYZctWDSc6fh18l0yDmXb7/irE5LbSnONRIxLW9VFohPtg676p
Rrigzb3MiR9eZof0boOJZ4GmKbHBSpR92+xPlJYqhBb9quH2HIpwVZo40eAxWI/SleFrh+QHfMNN
NoNKf1gp9sQO7InjFg+OXjH5i6+B01xlso9zhrRwc+MEcYSF2iTgGlqgAINy0unQknkTUydVICUq
J247HgEampZ+feJZCkO5/rjr/cOswtMCcvVDaakXrdNflPjwTlyvNc4B0u0HZuevTFdHsVlNTssY
+7YkipG2C9QMYXcIuWQFfXEqw6noFLZU4+iHMaXUtBDEixwGxgATg740XoXaiQVDoxdUjZ7GcAt9
fqbB4qjDge0HrSPPsdcWRA9Jc7+Balh2ggJiJ80XBKnnmqRZk0jQRFRBGFEeqSOCRCL5DMTzVkrn
qq8sXV2/0AXlBCQmGBBBQ0F49CyEl1LpODAJogoSPhKAdCtcFL2yrGGzwPmYGrBbZHAmc3YH35aq
4kfUwIEBJzpNYcWQJpZTf6jAQOL94UYnGvwZBfhQYharXBBruiK5Q76AL2OUAAXSvyFtYrHg4xix
fZgJgg5qCABhBWmHBkENOKSZZoLQQ9YGthaOTxJA2I5g/dDD/1oLGtAgCEFSMq5Qqln2MIVMQRmS
bLojOTT8PvChW8ArMuEXofJwJJEq2FITL2JkgADidEsqGRrvgp4EBx/5QkFZUgV5CVxKsQib4SQT
xCZTC04jmE6t2ZhT5LK/eKbBfse1LRUu3DBtXUGT8gVhSoM55QgKlSPIVLqgVY2CYAWJO/pP7H+O
/YTJ38R+bo6HckPc51/9iPsEd4pQQcd9jO2Uoq/ivgOqxaHchWiMhuvPuM/sU2HiiegJZbEpK/RM
XuK+vWehe4PsJYKuIqP4R+aRH0tldMh0VUUPRQfSDwngXancqgANCskZTola1UKW4nRewfeIMMiy
3YKxXNgbIHQMSQLGiv5Qh8IY87p9tI6A2ArxscCXjZNeCJLhOwLBD3ksSnN5Gg9atVAVGqUAurOD
vi3yc1Wn0WPqtXSMdZGxX6F95gixHgnVnhReEL238TwJIJ27QtpHyrkuNdR+RiH7kwoBIC9HCijI
OiakNi48DUa00zRRzxFPiw/bBKBxAo5eLpEVkoTAEFiM6lBBRpsLWggQBSgR0TN46FAmypj55UKq
qJRN6TAU8kWeE8d4hCBpJDcU76p64QixIxfVI9KmDgRbM6sEF8dFGYkm/aQQUkm9157LaCclyKQx
fD2msv0Gwnk/FCJLwdip0xTdJd0QwuMoMY25fT8KaaZBiDTZans8CNkmMPTFVGpqjJJwhXPQdoqE
yJOB2pOL6pMlFUv4pF/DgIhgCWGoQEhEdcZwOwbqipkr/wEeJfC9mBGbVthnlWYzhJWadCCn4PdB
jm8ZUsASpclc5rTSrX4Bk52Wen3cKM5CKceH0UY/3LDa47RnrIAgjQ1tn0sybWhH4DGWTGmY5Nic
cBt3qn6dY/nVSIwDCz2ft71qUMk8uJY5hz5UT1XXE04I3xuLpp8VoYNS6yP+2XIdQwBDH7UcTOrH
Qj6AjQm6clzbRYW2LUDUKaospDQ6AxUweYctiJgwzM4bOZEZ3eVYscUQwgoEfxOufS3dbxQTRxzv
GlUaZ1In1bFX1jFJEpAZG3wMumIQLoLIg8M6jPKBFafBPEsqNFs9t0YYzvkTF5UznEeLaVEhXtfZ
jGiLqkcELVjLwwjNv83WVg9aCq1hRg2SOx7Q6GBeXEfRPPd0ck21QYhGGXMQi6jBerV3ablU+ly9
6oGaJMvaha3VpCKI96OEm7QFxE/Xj2OpOzcV/ya1NHeS9ok9R+7hJDHVA9O2uds957RPq2oWSypA
VZ9sF4+uiZnjJGF0rk992J9mvXRYZjWk9S66a8LmOky023zozkId6CsDkAcuqVWpejg5dPYKvzd5
jkYulI8qbU+coTrTcu0+FHPWKvcPNNTauxABQjW9DNI4nCbGeBMXtTypiGAL2wjDRe4x86pd86bK
CogDPmp1YfQQjgxsBtXdHxtkxMHXm5NKF4JdXnCZ+R4MXS+I51IeXadddo15EUICrb4u5fBbajYI
ztRMPfLMzQUhb9lk9p9hKR0rXnuEboPM4N6Ym35+5GZGCMaywYlcUfDjkG7qYkD2PjtBEY9OklV1
EyxZv9YjqULkac5Bm1vOrEpQRO6wcJ/QxNJP1ShDjaIAeHj/GA3+w0wTk6Ffh0UI1zR9ho9xUfyz
H3FRFTYSsgJ0UkCCXk91VW3PfB0vn4thHVy/IPZbDG/pPCMw9jMoOnv8OSrgRFMKWRm56H9QDDNX
fl8MM7tx6BurDv/HWxGDstfFMDZSZlFUyVmq5Lq+rNQGfNDQBAQ++CCd6oCkbAHDxFZ+BxX725iN
/n4vpZc6DaOJZt0OLc4xeeMdlEyeijxIkV4xYhp41kquFW75sIknWd7rE/o37czwBpR9chPGTe6t
JMmNpm3r1wyestNqqO8lM8onhtPd6xR2cz9DpMdJubbs4LjXqZI1J1xKlOWlnBmzjK7Pyq9R06nx
GwfOXt4j1oiAZVPetlhA0C4c9jFMu5V6ZeF3tTKxeu/AsuoVLV4QrxFYCqPobjpbuorrIZ6GkXKp
GfVXD+DXvmPD8VY0zTz18BKZg0+nVDKicq4M3hqMRbYP2Imr1inP6UedZgKMBzjyEkZWMcEP+rxX
5aNENh70OtnXwPFVenCsC2BfSYrRg/Sj9cffdg4SufzagATMenDRqcAGghF0wlutgxIMbBCU5l2p
VqflGFwbwAojHc0qxItBGhrmmcSbBcbYHSR+INGkQ415lBpvAY//sgq0FTJSq/ERwyjTah8ErtEo
7OQwVBg1GQL1CGDoTDI6HNsrFwltyccPoVeOQx+eRihwk4WHJWLRyHMbSKVZYeXRIdntALa0M0DE
spOc5oOOxHVUoHudp+o+CFBaAKA1y6BBLAFr5f3I8stZKFCdZuv2c0MgPSEPguoc1AOEwP50AYPG
gEJNuYElmXZTKGrFfgkcvldV0dyNDlUDPYheoEv1buQmBXCaSMTuUpXcfRJTd9phtSoDT/UFTrWv
y9tQKi/M1jjrALJ6IYhWUw0RCkJDvNYPHAUNnmg0r2o623Li/VkBigWVIIE/o6NjCMRsK7CzNiDa
NMSQ01O5jK38WhI427jqriSBvOWfMlAXaFxNwHIlFX9V1UR4QkEytIJzFWT5Uh+c00hnhFAPPeNd
8L4NPZ15LyDAVocXnBSWNsagAb6sIIW7GpXOSCv7de3m4UyucljfAlqsReF1E82sOLjSaiENJ0DI
nLUZ/hb0HGqr3k+rmrl1hyNIr6juVMPgdMg7kNmITiVhoM1GsM5o8/nzIS3oPYCDDlJSWtB+Jnbe
AiQNWtoFNR312Hyw1y517Ugavkcyox8JpHVmVXNNQK9932LQn/1JFv9dFvjs3NK/l6N84wDcRtNm
lQ8DmgIguqGo+XNzAJc0JMWF31TrWB8Z5wyH2NWhguRg6KkIhHgPZ9+Gj17aw3e1Kr95UnPcZfV5
nEvLumW0EKT1DIHYpeag3qAIJLohMOmhkHxtBE69rOvvuZQkoBM7dRb31jooym8M7QjoGSwhVSDe
sRQ0j+pGANMNyUaYBCkSxSnoWpTVpAU0X0OkAl2iBjMu5ONKIOu9iumHP7ZHtUDdq8DvTb9fhwKP
nwtkfl1UMekRlWmlFwdmAq3PD2io+f1lbRTNtBf2NL3fzYpIuKKmRsmhyzgStrmMywBOQu+uslhD
5aBx+6kleZeuq59muXPpuPqB1g/21IT3MGmG+MLN85WHl8LCq+34a9lVAeM5yKu0WGHbiINthNf4
QdakHF204FpFUVj1b/sUBxtGLIu2S4+40C8GPYNlgjrJjABwnuutOgkMY9ZCItv3ZWDqbaXpE8PE
5cVOjxDB06dREZ9UfnseMMPGNZF5YEAGb2UlHSwv5t+27aVhhvbBmDa3aIIwDMxLd0IR5k/NsGBs
MErfHR0uE7ZYwT6uOufpkN2aGme7iC2b/NuWpnBIPaD1Y4oCk6NPyqz4yrRC4PGB3CdDD3IPY4GJ
j0rlLOPONvJUXoSBXC8Yctw2TnCd5Wwk+puLofbAefCVkwqRRXcacmB1D8cUzybWtA3MQ/hXJPs6
tgM+ei9aBmag0dsrf4jOO2LitA7tjIUBZ25Yhofj7MB2A6Yxa0KBPRdeSbk0drMIzxqcCzJKO6vD
Ea6DFxWZVxiq7ZfpcG9kxhkG1w896gokiyGacDUNGyx9kENIT4BFFbh7j4jsYs1kWekBaLHDOs7L
qT6oDeJccvYV7mV8WI3FlaZy8ONUu5YG/bQO6vuuiBeOG14R7OXjwIRmRPw/rBCYorH9BVfZA00i
WcSYtheNPTwtsYtyDcZeCHbSnMZFqoNUOlMt6y7oM2mWoLM5LYT9zZDZFwpzuLlh+DoM6j6d5zmm
mW3cuIdyOaxNic1Q+626iCL7S59CqbJd6SjwvHUJ391DTxHGaL6fFRn/3srPsghmKRZC3hwpzbsc
XAk9zOBGlwPGQIV5Rmn6Z6ab2CDF/cHoad9DubO4Y/HdVdXSn9t96i9Miy5VbVLJy9nA9gspFJRg
cBggKjcm2sWo9wRzEFLUAhK3NoAwb4a8XQdBKVzLqbqMIApO68ANEY9h1Cgsg/S63B9GvUHmUWTe
cnQQIgExDWx002SB+yxUNLEzYTYEn/Le9yToPbZXLpDOkadZ0razTB6QxIFmMkjmdWJjzOR5+Hcm
hfTFL7sryIXZJA2cKRgzALkK2hUN5Y9HecEcwL+sTatAdbA+bLymmiaycwW/58yLMRxHLoVWXy41
9DY5T1pbL3pPimdo2BxKZE7CxlSedmp1m3sJCFbiOatFCIFDbMrdVNDBOiDDUm5+N2Xpi6TZBIEE
RRG0S79bQqlEjdW7diiPHSL5ZLCMu6q19rEtRe3YU47cVEuRXELmujejay9Bvrvo0Vq2adaFUsJM
9Va2vRMSA31i61I2UZrwKDfoPOdNGK7UAN9h9E7hukQ3noQSDCOJL0oJpSJvpAsrcUwsn7ND3emu
e3KuiemPyBLmWTovas2bIiQDyTwq+Dg6Yn92h3RqlunHdpGd2fYAmtsq6Ax03XdTtSAEdai0wI9c
yG3zNW85un6pnMdeKnqo2lIzg1oYVJcT9HUuoSEZ0LDRy8v8nnu6TJe9XqaL0tSPFLu+C5OhmjI+
uC56SsCkka/GODjqh/gLIPZk1qHomFnybSvIe3aXMmStrW6Wxc1JXpWLVO7tCUMG+rko/rFrwweH
3NhvTdTc+/RhTMqj0UnROGUIoqrgDcNwVuOGlbfAyCuyPCvi6vMLdqbvdBYaWwFvsrH25b78bvqk
dFbW40BLztci/RnE4VemIoeuy4w0StdA3m/DujnV9eIowR19xsB54bawpmKNOrawLnpfmfdGAne/
yC77yjkAsA2Fh7JRDs9qNE2GgAbuoIFUduN5ULYnaBEcNkE+jQ25VY+qUBmmhWep0XmcjubXIQtM
e1VIRssfGDVSiYMQbjFy6f+N2txzmbzRIeKH4pr46VlGZvIl+2Aj8bf+0kudt/lBzyimv2c5obyv
ah/f2KPpxW+fE6+JIM09phaaumcRFw0wTDRoeYGFizMc555+DHDK2DNANRqQvx9//vQbX63Ur9bi
9x/zoyfHx+f89iO8B3uJN/6mwP/nS2Hv0dlWgWBTl4sXo+s3S8FAHCyLo9LMft1V2fw9/p0P+Hf+
zj9bBNCTWy8CojNQd7DkfXp9XAREjZm4PxpZwZ/a1aXY/mjYewKuQF+BZsr7jWCBboCR5TxulF1d
AwGA3HI7mHsa1u+IHTx9UvF1v1kK+Awq/DlbMZ7O3//xxfC6g2eA5/xffH4+4M/b0dpTDZSoaKo9
ftGbPj4VL0QKukaPrx09Dcp7RNA/vx3NPS5HDdkrsLDi9X4ncDvKJqgAVmInF0EI9P4vtoMIAq/3
A0gjGymo5+uR+/bNcVCRewUWZQnYEyfv//g08CY+hEmAx1teCZCbHMivEGOftjxb680acCVAhrAY
zXJv7uYiMDLeehEgnTiOphEMxev9IrARALvZ1BdPJ28Hd8LTt/PTFO2fXwnc/SIdYis8XQnirLzO
HVkEGmroEAnq107uBMG53nInQOgzZY07QX9ahPcJNPciP8RDXLgf8trVZEGku9svBbARHeL6Lw6F
smcQThFw3NVFELyQLRdBg2giI//+VC59jJMwUSCLocFv7WacZJc+lTdb3AwMPi3ByFPFHSleH+Kk
ztWha8TJXQ2UyvYxwtnjIyKhQp3w+NpwPcIgUhCT2Nl68jPSRgt6FP2D5wSZTf8mRohsAZMrgwpi
R2OEcGre8k6whNQ/mTNCeY+v97kziwCmzoKRDQ1MvHZ0KeTtM2jCJbA9BQ3OdxtBZExQ9FA72dkr
YfsIibGDjHSwjNbD0+vdIqAcwDkxAZfsatoozCW2Ow26zImHyo+gwbtPr+p7CnYXSHM9h40dPQb6
1r1G1oDyCKwsEhG/ig0afFU4p7saG5StF0EzyIQe08XnXGnDtSiqLJDGT33N3SuilO3rBzpsdJxR
f6Jd9fh6dyiIDVCw0JVSdnYRnrboNvmiDOQcpXNsOJ9eG4ookx8L0tmO3gnPXa8tFkGDoi7kvgx8
vh9fG3oKENdZAtFt4A7ewePw9O1sswj6nmyoqGe+HIf3i0CExE6JxjyJtXjtbCW5far0mDVaWB08
3wws7pvUWTQb4WAgF7Sri/Bc52+zH5w9PiAFpPU8n3wfI4Dekk6ZoGt39WbQtj8U3AzcC7pgvDy+
PlyPGJA5hBDH2e0e03O1v81+oHsim6CvzecU8f39QLtNMJS4Hp76cbt6NJ5bolsshWiyIE9Jhvgy
q/14P5g06hEXeUrVdi9eqFvnkCyC7jzKpphPQfNDTUGmjUSUTha5o0FT277TBIgDKRoDIMe7LUCz
EUNNW0Gt9Gl5dnQN1O3zaPICRk4/7oUPLUfyaKIl9uzPTYwdPA1b59Eai4CyAuTNX6B5RMpAGi20
bXd1J2x/Gsw9VCsetRJ/GS0RpqD63tkp7XO9u0Vw0NjtYCJtTUhXideGlAFKClayzq42GIzP6DQB
W8OSF2Lyy/X3IYPWIDujHPG4SLuaLIh7fbumm6aB8wO1ZZu/mM0RKRBzkVFA29lF2L6isvHVfVyG
ZzjPpkMh5Nyg0b3sl52ss/Wtj4am71FMiF7CL46GaDs5NoeD8f3ja0fjhVBF3/JoMHyBpgnk8Xkp
PtTZ8h6dJ6T5njO13csctO0nEzYNaXA9SAI8fd0fFkEk2uJ/NGzFa1dvCcF83XI/MJsGr6HJv8L2
iEzS4ZIwheTUTt4Pwnx+y0VgUmUglQni72k/cPm+DZ3sB1mVmePsbP7wtEW3SKLEpIrmPJXV8x34
4VCo3AzCV9Tc1eMgvD633AkM5TgNlJDPMIb3QZPMQWUVCKy7ehq2z54MrgS4rYSBx8tP3H5vTwPU
AIZYIJt2dhG2Ly6x2H1UKqCIfnq9XwQEEjDENexnG+Ddi5PPd9UWV4KosA3yaFFePr4+7AQwj0j7
49a4q/fi87Rgm0WgCcsEBlzTr5qwyt6jLCMWxjt6JzzTFbZbBJQ2cGug/7h5Jwj9TNyqkePY0UXQ
t08bYQVYFNDofT1dCe8bkAICTNcN/sjOHoftxzP23rOk6TOY432EZBHoz5o6ILAd3QnG9l03aAEI
s4l06H1YYE5hMa8F2rOjn/6DXu4/h8JbgDQQazXMX2E9FaDwYnCN0M9u1gzCB2bLTJFZLbY3MCif
C+kPl4GCTBLRc4d7jttnSWJgrYB3ZdDw+OKOfZsqAoIH8WvTf/77O+FvpFI/uMdTP4jvH6nJeME+
coGfeKZ/+RdeGLsfH/CKRvTIqnvzNwVV+enZT2Qj8d//tb5PgnQWVHUZ3NXqI1Tl1U9foCuPv+n5
3z9/xI+//M0ve/lcL394gM/furzzh8cfDM9vdLVO4Db/d8z/3a/fk6BEA/TlzzbTrH8cg98/HRGs
h5cHHd7/+19PApwyDamfH/Xf/3q7Eq/O2G8fnqzvs/LlQa8ezhW69cMnQgT05Tmvns1O3frZ03W8
bvlKqpdnvXo++3375yOwUH34SplxEFk/4eFpXa7/mGYbHdtFYNv6V8we4j9WWblx/bl7tn7+PP5j
lpVsnpdnvVp/Ep2tn78oH6p008O567d++H78kKYvz3n1xj/juB40yW0W39cfHy8QzVu/9cMkfyiD
dfzyqJ/vXmg0bP94NJNeHvPq0Z9xYo8fyg1rLtASW7/r4yD1NlwEAjS79bNP1tGGO0yQSD7h0VX1
sGlNPuOAnmTVH/+deg/xw6aV+YwjulzfcwG/rMOr3fIZR3S5Ripzw7M/44iKZ+fZpttdUHC2/lqX
D+l9dhdsur0ETvETnl/ePdy/POjnugvQ2/YPz3jvL8959ezPOKbLbOOafMYp5dHojT8MG975Z5zU
1TrfsNEFZWLrBV89tOuPuSOG6p9xRE/LNVfAy7t89XV+xhE9i9d3mzTeRWt662U5i5tkU3InxrBb
P/wiIHWsgvsNKyOIuVs//3J9V1ISpPWGWCpGqJ/wC9I/Jg9ICW/6BZ9xVC/X4heU6bq833iRiXHP
p3yKWfDgbfoQn3FqxYdYcALugupu0+/4jOMrfsdRti6aTdFKILI/ZZVOmqD64/Q2qPJNn+MzDrP4
HMt1/bDp+Z9xnnl+vf5jsi5v15tyBgE0+YyV4ndMMWnccFmLacRn/YayGV8e9vNOFU3u7X+Bj4/k
pnf/KYeaHsbGpfmUwxxUEbLWzcsivFqYTznLWbzelD2I6df2q05ikmxa9U85v39lg/boJrpFg+jy
d14r2z78y4O/3rQ0AjS59br/Xg5/67f+O7vW7R9OgyjZ1JcTE7+tV+b39u/bvvmbLN5wz4vZzNZv
/Ka53XCQjL8+pZvasj+ohx+btS+Shpv+2dtetPgbd/HDuvyv/wEAAP//</cx:binary>
              </cx:geoCache>
            </cx:geography>
          </cx:layoutPr>
          <cx:valueColors>
            <cx:minColor>
              <a:srgbClr val="C2E49C"/>
            </cx:minColor>
            <cx:maxColor>
              <a:srgbClr val="92D050"/>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emf"/><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image" Target="../media/image1.png"/><Relationship Id="rId6" Type="http://schemas.microsoft.com/office/2014/relationships/chartEx" Target="../charts/chartEx3.xml"/><Relationship Id="rId5" Type="http://schemas.openxmlformats.org/officeDocument/2006/relationships/chart" Target="../charts/chart9.xml"/><Relationship Id="rId10" Type="http://schemas.openxmlformats.org/officeDocument/2006/relationships/chart" Target="../charts/chart12.xml"/><Relationship Id="rId4" Type="http://schemas.openxmlformats.org/officeDocument/2006/relationships/chart" Target="../charts/chart8.xml"/><Relationship Id="rId9"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860425</xdr:colOff>
      <xdr:row>7</xdr:row>
      <xdr:rowOff>38100</xdr:rowOff>
    </xdr:from>
    <xdr:to>
      <xdr:col>8</xdr:col>
      <xdr:colOff>479425</xdr:colOff>
      <xdr:row>22</xdr:row>
      <xdr:rowOff>19050</xdr:rowOff>
    </xdr:to>
    <xdr:graphicFrame macro="">
      <xdr:nvGraphicFramePr>
        <xdr:cNvPr id="2" name="Chart 1">
          <a:extLst>
            <a:ext uri="{FF2B5EF4-FFF2-40B4-BE49-F238E27FC236}">
              <a16:creationId xmlns:a16="http://schemas.microsoft.com/office/drawing/2014/main" id="{1D1228DA-61FC-8BC9-E49F-C32E0ACB6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484414</xdr:colOff>
      <xdr:row>27</xdr:row>
      <xdr:rowOff>1</xdr:rowOff>
    </xdr:from>
    <xdr:to>
      <xdr:col>7</xdr:col>
      <xdr:colOff>317500</xdr:colOff>
      <xdr:row>40</xdr:row>
      <xdr:rowOff>19957</xdr:rowOff>
    </xdr:to>
    <xdr:graphicFrame macro="">
      <xdr:nvGraphicFramePr>
        <xdr:cNvPr id="3" name="Chart 2">
          <a:extLst>
            <a:ext uri="{FF2B5EF4-FFF2-40B4-BE49-F238E27FC236}">
              <a16:creationId xmlns:a16="http://schemas.microsoft.com/office/drawing/2014/main" id="{DFE76DA6-589F-4253-7AB5-7FE01A966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222251</xdr:colOff>
      <xdr:row>45</xdr:row>
      <xdr:rowOff>20864</xdr:rowOff>
    </xdr:from>
    <xdr:to>
      <xdr:col>13</xdr:col>
      <xdr:colOff>539751</xdr:colOff>
      <xdr:row>60</xdr:row>
      <xdr:rowOff>42636</xdr:rowOff>
    </xdr:to>
    <xdr:graphicFrame macro="">
      <xdr:nvGraphicFramePr>
        <xdr:cNvPr id="4" name="Chart 3">
          <a:extLst>
            <a:ext uri="{FF2B5EF4-FFF2-40B4-BE49-F238E27FC236}">
              <a16:creationId xmlns:a16="http://schemas.microsoft.com/office/drawing/2014/main" id="{64C5B1AE-BBE5-24CD-A37F-E42E0E2D6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589645</xdr:colOff>
      <xdr:row>53</xdr:row>
      <xdr:rowOff>9072</xdr:rowOff>
    </xdr:from>
    <xdr:to>
      <xdr:col>16</xdr:col>
      <xdr:colOff>925286</xdr:colOff>
      <xdr:row>61</xdr:row>
      <xdr:rowOff>99785</xdr:rowOff>
    </xdr:to>
    <xdr:graphicFrame macro="">
      <xdr:nvGraphicFramePr>
        <xdr:cNvPr id="6" name="Chart 5">
          <a:extLst>
            <a:ext uri="{FF2B5EF4-FFF2-40B4-BE49-F238E27FC236}">
              <a16:creationId xmlns:a16="http://schemas.microsoft.com/office/drawing/2014/main" id="{4FFD0F8C-62B7-E2A0-6EDB-145F172AE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4536</xdr:colOff>
      <xdr:row>72</xdr:row>
      <xdr:rowOff>20866</xdr:rowOff>
    </xdr:from>
    <xdr:to>
      <xdr:col>22</xdr:col>
      <xdr:colOff>376465</xdr:colOff>
      <xdr:row>87</xdr:row>
      <xdr:rowOff>42637</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6E835336-BE57-BFB5-0F1F-A913113C5E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136086" y="13279666"/>
              <a:ext cx="4575629" cy="27840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122464</xdr:colOff>
      <xdr:row>88</xdr:row>
      <xdr:rowOff>84365</xdr:rowOff>
    </xdr:from>
    <xdr:to>
      <xdr:col>20</xdr:col>
      <xdr:colOff>598714</xdr:colOff>
      <xdr:row>100</xdr:row>
      <xdr:rowOff>63500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56AFE8FB-AD53-0B82-9448-5616AA518F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187464" y="16289565"/>
              <a:ext cx="2413000" cy="21889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585107</xdr:colOff>
      <xdr:row>133</xdr:row>
      <xdr:rowOff>9072</xdr:rowOff>
    </xdr:from>
    <xdr:to>
      <xdr:col>12</xdr:col>
      <xdr:colOff>590550</xdr:colOff>
      <xdr:row>147</xdr:row>
      <xdr:rowOff>88444</xdr:rowOff>
    </xdr:to>
    <mc:AlternateContent xmlns:mc="http://schemas.openxmlformats.org/markup-compatibility/2006" xmlns:a14="http://schemas.microsoft.com/office/drawing/2010/main">
      <mc:Choice Requires="a14">
        <xdr:graphicFrame macro="">
          <xdr:nvGraphicFramePr>
            <xdr:cNvPr id="13" name="Gender Value">
              <a:extLst>
                <a:ext uri="{FF2B5EF4-FFF2-40B4-BE49-F238E27FC236}">
                  <a16:creationId xmlns:a16="http://schemas.microsoft.com/office/drawing/2014/main" id="{B26C5D1C-0EB3-9E9D-16D4-9AB598268F1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270750" y="24139072"/>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494393</xdr:colOff>
      <xdr:row>132</xdr:row>
      <xdr:rowOff>117929</xdr:rowOff>
    </xdr:from>
    <xdr:to>
      <xdr:col>9</xdr:col>
      <xdr:colOff>318407</xdr:colOff>
      <xdr:row>147</xdr:row>
      <xdr:rowOff>15872</xdr:rowOff>
    </xdr:to>
    <mc:AlternateContent xmlns:mc="http://schemas.openxmlformats.org/markup-compatibility/2006" xmlns:a14="http://schemas.microsoft.com/office/drawing/2010/main">
      <mc:Choice Requires="a14">
        <xdr:graphicFrame macro="">
          <xdr:nvGraphicFramePr>
            <xdr:cNvPr id="14" name="Order Mode">
              <a:extLst>
                <a:ext uri="{FF2B5EF4-FFF2-40B4-BE49-F238E27FC236}">
                  <a16:creationId xmlns:a16="http://schemas.microsoft.com/office/drawing/2014/main" id="{F28A8754-4F2C-6E3A-73B5-5C816EA998DC}"/>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5175250" y="240665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568325</xdr:colOff>
      <xdr:row>2</xdr:row>
      <xdr:rowOff>69850</xdr:rowOff>
    </xdr:from>
    <xdr:to>
      <xdr:col>8</xdr:col>
      <xdr:colOff>63500</xdr:colOff>
      <xdr:row>16</xdr:row>
      <xdr:rowOff>165100</xdr:rowOff>
    </xdr:to>
    <xdr:graphicFrame macro="">
      <xdr:nvGraphicFramePr>
        <xdr:cNvPr id="2" name="Chart 1">
          <a:extLst>
            <a:ext uri="{FF2B5EF4-FFF2-40B4-BE49-F238E27FC236}">
              <a16:creationId xmlns:a16="http://schemas.microsoft.com/office/drawing/2014/main" id="{CCE49FAE-D7CB-172B-91B4-EF311E56E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340179</xdr:colOff>
      <xdr:row>7</xdr:row>
      <xdr:rowOff>2721</xdr:rowOff>
    </xdr:from>
    <xdr:to>
      <xdr:col>16</xdr:col>
      <xdr:colOff>594179</xdr:colOff>
      <xdr:row>22</xdr:row>
      <xdr:rowOff>24492</xdr:rowOff>
    </xdr:to>
    <xdr:graphicFrame macro="">
      <xdr:nvGraphicFramePr>
        <xdr:cNvPr id="3" name="Chart 2">
          <a:extLst>
            <a:ext uri="{FF2B5EF4-FFF2-40B4-BE49-F238E27FC236}">
              <a16:creationId xmlns:a16="http://schemas.microsoft.com/office/drawing/2014/main" id="{65217631-3CE8-C855-7DE8-EB7ECA232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154214</xdr:colOff>
      <xdr:row>1</xdr:row>
      <xdr:rowOff>58965</xdr:rowOff>
    </xdr:from>
    <xdr:to>
      <xdr:col>35</xdr:col>
      <xdr:colOff>392339</xdr:colOff>
      <xdr:row>44</xdr:row>
      <xdr:rowOff>58965</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7853589" y="249465"/>
          <a:ext cx="13144500" cy="8191500"/>
        </a:xfrm>
        <a:prstGeom prst="rect">
          <a:avLst/>
        </a:prstGeom>
        <a:solidFill>
          <a:schemeClr val="accent3">
            <a:lumMod val="20000"/>
            <a:lumOff val="80000"/>
          </a:schemeClr>
        </a:solidFill>
        <a:ln>
          <a:noFill/>
        </a:ln>
        <a:effectLst>
          <a:outerShdw blurRad="254000" dist="127000" dir="1200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effectLst>
              <a:outerShdw blurRad="50800" dist="38100" algn="l" rotWithShape="0">
                <a:prstClr val="black">
                  <a:alpha val="40000"/>
                </a:prstClr>
              </a:outerShdw>
            </a:effectLst>
            <a:latin typeface="+mn-lt"/>
            <a:ea typeface="+mn-ea"/>
            <a:cs typeface="+mn-cs"/>
          </a:endParaRPr>
        </a:p>
      </xdr:txBody>
    </xdr:sp>
    <xdr:clientData/>
  </xdr:twoCellAnchor>
  <xdr:twoCellAnchor>
    <xdr:from>
      <xdr:col>13</xdr:col>
      <xdr:colOff>111125</xdr:colOff>
      <xdr:row>1</xdr:row>
      <xdr:rowOff>47625</xdr:rowOff>
    </xdr:from>
    <xdr:to>
      <xdr:col>16</xdr:col>
      <xdr:colOff>333375</xdr:colOff>
      <xdr:row>44</xdr:row>
      <xdr:rowOff>47625</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7839982" y="229054"/>
          <a:ext cx="2045607" cy="7801428"/>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317464</xdr:colOff>
      <xdr:row>1</xdr:row>
      <xdr:rowOff>133179</xdr:rowOff>
    </xdr:from>
    <xdr:to>
      <xdr:col>16</xdr:col>
      <xdr:colOff>95250</xdr:colOff>
      <xdr:row>4</xdr:row>
      <xdr:rowOff>31750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016839" y="323679"/>
          <a:ext cx="1587536" cy="470071"/>
        </a:xfrm>
        <a:prstGeom prst="rect">
          <a:avLst/>
        </a:prstGeom>
      </xdr:spPr>
    </xdr:pic>
    <xdr:clientData/>
  </xdr:twoCellAnchor>
  <xdr:twoCellAnchor>
    <xdr:from>
      <xdr:col>13</xdr:col>
      <xdr:colOff>263071</xdr:colOff>
      <xdr:row>6</xdr:row>
      <xdr:rowOff>98878</xdr:rowOff>
    </xdr:from>
    <xdr:to>
      <xdr:col>14</xdr:col>
      <xdr:colOff>532946</xdr:colOff>
      <xdr:row>8</xdr:row>
      <xdr:rowOff>132895</xdr:rowOff>
    </xdr:to>
    <xdr:sp macro="" textlink="Pivots!G4">
      <xdr:nvSpPr>
        <xdr:cNvPr id="7" name="TextBox 6">
          <a:extLst>
            <a:ext uri="{FF2B5EF4-FFF2-40B4-BE49-F238E27FC236}">
              <a16:creationId xmlns:a16="http://schemas.microsoft.com/office/drawing/2014/main" id="{E5AAF23E-BA51-CE7F-A22E-90DE985AC6C8}"/>
            </a:ext>
          </a:extLst>
        </xdr:cNvPr>
        <xdr:cNvSpPr txBox="1"/>
      </xdr:nvSpPr>
      <xdr:spPr>
        <a:xfrm>
          <a:off x="7991928" y="1187449"/>
          <a:ext cx="877661"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82DB79-BA78-40C1-BE27-5987B0893C51}" type="TxLink">
            <a:rPr lang="en-US" sz="1800" b="1" i="0" u="none" strike="noStrike">
              <a:gradFill>
                <a:gsLst>
                  <a:gs pos="0">
                    <a:schemeClr val="bg1"/>
                  </a:gs>
                  <a:gs pos="86000">
                    <a:schemeClr val="bg1">
                      <a:lumMod val="65000"/>
                    </a:schemeClr>
                  </a:gs>
                </a:gsLst>
                <a:lin ang="5400000" scaled="1"/>
              </a:gradFill>
              <a:latin typeface="Aptos Narrow"/>
            </a:rPr>
            <a:pPr/>
            <a:t>2,400</a:t>
          </a:fld>
          <a:endParaRPr lang="en-IN" sz="1800" b="1">
            <a:gradFill>
              <a:gsLst>
                <a:gs pos="0">
                  <a:schemeClr val="bg1"/>
                </a:gs>
                <a:gs pos="86000">
                  <a:schemeClr val="bg1">
                    <a:lumMod val="65000"/>
                  </a:schemeClr>
                </a:gs>
              </a:gsLst>
              <a:lin ang="5400000" scaled="1"/>
            </a:gradFill>
          </a:endParaRPr>
        </a:p>
      </xdr:txBody>
    </xdr:sp>
    <xdr:clientData/>
  </xdr:twoCellAnchor>
  <xdr:twoCellAnchor>
    <xdr:from>
      <xdr:col>13</xdr:col>
      <xdr:colOff>263071</xdr:colOff>
      <xdr:row>10</xdr:row>
      <xdr:rowOff>94793</xdr:rowOff>
    </xdr:from>
    <xdr:to>
      <xdr:col>15</xdr:col>
      <xdr:colOff>355599</xdr:colOff>
      <xdr:row>12</xdr:row>
      <xdr:rowOff>175983</xdr:rowOff>
    </xdr:to>
    <xdr:sp macro="" textlink="Pivots!H4">
      <xdr:nvSpPr>
        <xdr:cNvPr id="8" name="TextBox 7">
          <a:extLst>
            <a:ext uri="{FF2B5EF4-FFF2-40B4-BE49-F238E27FC236}">
              <a16:creationId xmlns:a16="http://schemas.microsoft.com/office/drawing/2014/main" id="{50F007CE-01B7-49B3-ABEC-7BDF564E002D}"/>
            </a:ext>
          </a:extLst>
        </xdr:cNvPr>
        <xdr:cNvSpPr txBox="1"/>
      </xdr:nvSpPr>
      <xdr:spPr>
        <a:xfrm>
          <a:off x="7991928" y="1909079"/>
          <a:ext cx="1308100" cy="44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58A457-BAA3-4A0F-94E4-1478FC16B5D5}" type="TxLink">
            <a:rPr lang="en-US" sz="1800" b="1" i="0" u="none" strike="noStrike">
              <a:gradFill>
                <a:gsLst>
                  <a:gs pos="0">
                    <a:schemeClr val="bg1"/>
                  </a:gs>
                  <a:gs pos="86000">
                    <a:schemeClr val="bg1">
                      <a:lumMod val="65000"/>
                    </a:schemeClr>
                  </a:gs>
                </a:gsLst>
                <a:lin ang="5400000" scaled="1"/>
              </a:gradFill>
              <a:latin typeface="Aptos Narrow"/>
              <a:ea typeface="+mn-ea"/>
              <a:cs typeface="+mn-cs"/>
            </a:rPr>
            <a:pPr marL="0" indent="0"/>
            <a:t>11,997</a:t>
          </a:fld>
          <a:endParaRPr lang="en-IN" sz="1800" b="1" i="0" u="none" strike="noStrike">
            <a:gradFill>
              <a:gsLst>
                <a:gs pos="0">
                  <a:schemeClr val="bg1"/>
                </a:gs>
                <a:gs pos="86000">
                  <a:schemeClr val="bg1">
                    <a:lumMod val="65000"/>
                  </a:schemeClr>
                </a:gs>
              </a:gsLst>
              <a:lin ang="5400000" scaled="1"/>
            </a:gradFill>
            <a:latin typeface="Aptos Narrow"/>
            <a:ea typeface="+mn-ea"/>
            <a:cs typeface="+mn-cs"/>
          </a:endParaRPr>
        </a:p>
      </xdr:txBody>
    </xdr:sp>
    <xdr:clientData/>
  </xdr:twoCellAnchor>
  <xdr:twoCellAnchor>
    <xdr:from>
      <xdr:col>13</xdr:col>
      <xdr:colOff>263071</xdr:colOff>
      <xdr:row>14</xdr:row>
      <xdr:rowOff>33561</xdr:rowOff>
    </xdr:from>
    <xdr:to>
      <xdr:col>15</xdr:col>
      <xdr:colOff>494391</xdr:colOff>
      <xdr:row>16</xdr:row>
      <xdr:rowOff>87991</xdr:rowOff>
    </xdr:to>
    <xdr:sp macro="" textlink="Pivots!I4">
      <xdr:nvSpPr>
        <xdr:cNvPr id="9" name="TextBox 8">
          <a:extLst>
            <a:ext uri="{FF2B5EF4-FFF2-40B4-BE49-F238E27FC236}">
              <a16:creationId xmlns:a16="http://schemas.microsoft.com/office/drawing/2014/main" id="{EA293952-8339-43A7-882F-35DA3A1664A2}"/>
            </a:ext>
          </a:extLst>
        </xdr:cNvPr>
        <xdr:cNvSpPr txBox="1"/>
      </xdr:nvSpPr>
      <xdr:spPr>
        <a:xfrm>
          <a:off x="7991928" y="2573561"/>
          <a:ext cx="1446892" cy="417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46831BE-BC3B-45C0-8D97-0E9534ED6BAC}" type="TxLink">
            <a:rPr lang="en-US" sz="1800" b="1" i="0" u="none" strike="noStrike">
              <a:gradFill>
                <a:gsLst>
                  <a:gs pos="0">
                    <a:schemeClr val="bg1"/>
                  </a:gs>
                  <a:gs pos="86000">
                    <a:schemeClr val="bg1">
                      <a:lumMod val="65000"/>
                    </a:schemeClr>
                  </a:gs>
                </a:gsLst>
                <a:lin ang="5400000" scaled="1"/>
              </a:gradFill>
              <a:latin typeface="Aptos Narrow"/>
              <a:ea typeface="+mn-ea"/>
              <a:cs typeface="+mn-cs"/>
            </a:rPr>
            <a:pPr marL="0" indent="0"/>
            <a:t>$649.0k</a:t>
          </a:fld>
          <a:endParaRPr lang="en-IN" sz="1800" b="1" i="0" u="none" strike="noStrike">
            <a:gradFill>
              <a:gsLst>
                <a:gs pos="0">
                  <a:schemeClr val="bg1"/>
                </a:gs>
                <a:gs pos="86000">
                  <a:schemeClr val="bg1">
                    <a:lumMod val="65000"/>
                  </a:schemeClr>
                </a:gs>
              </a:gsLst>
              <a:lin ang="5400000" scaled="1"/>
            </a:gradFill>
            <a:latin typeface="Aptos Narrow"/>
            <a:ea typeface="+mn-ea"/>
            <a:cs typeface="+mn-cs"/>
          </a:endParaRPr>
        </a:p>
      </xdr:txBody>
    </xdr:sp>
    <xdr:clientData/>
  </xdr:twoCellAnchor>
  <xdr:twoCellAnchor>
    <xdr:from>
      <xdr:col>13</xdr:col>
      <xdr:colOff>288020</xdr:colOff>
      <xdr:row>17</xdr:row>
      <xdr:rowOff>167820</xdr:rowOff>
    </xdr:from>
    <xdr:to>
      <xdr:col>16</xdr:col>
      <xdr:colOff>72574</xdr:colOff>
      <xdr:row>19</xdr:row>
      <xdr:rowOff>163285</xdr:rowOff>
    </xdr:to>
    <xdr:sp macro="" textlink="Pivots!J4">
      <xdr:nvSpPr>
        <xdr:cNvPr id="10" name="TextBox 9">
          <a:extLst>
            <a:ext uri="{FF2B5EF4-FFF2-40B4-BE49-F238E27FC236}">
              <a16:creationId xmlns:a16="http://schemas.microsoft.com/office/drawing/2014/main" id="{309199E9-8111-4936-B2F2-9EF7950DE54E}"/>
            </a:ext>
          </a:extLst>
        </xdr:cNvPr>
        <xdr:cNvSpPr txBox="1"/>
      </xdr:nvSpPr>
      <xdr:spPr>
        <a:xfrm>
          <a:off x="8016877" y="3252106"/>
          <a:ext cx="1607911" cy="358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7B6F87-FD56-4E7C-B70D-E92DCF19F1E3}" type="TxLink">
            <a:rPr lang="en-US" sz="1800" b="1" i="0" u="none" strike="noStrike">
              <a:gradFill>
                <a:gsLst>
                  <a:gs pos="0">
                    <a:schemeClr val="bg1"/>
                  </a:gs>
                  <a:gs pos="86000">
                    <a:schemeClr val="bg1">
                      <a:lumMod val="65000"/>
                    </a:schemeClr>
                  </a:gs>
                </a:gsLst>
                <a:lin ang="5400000" scaled="1"/>
              </a:gradFill>
              <a:latin typeface="Aptos Narrow"/>
              <a:ea typeface="+mn-ea"/>
              <a:cs typeface="+mn-cs"/>
            </a:rPr>
            <a:pPr marL="0" indent="0"/>
            <a:t>4.0</a:t>
          </a:fld>
          <a:endParaRPr lang="en-IN" sz="1800" b="1" i="0" u="none" strike="noStrike">
            <a:gradFill>
              <a:gsLst>
                <a:gs pos="0">
                  <a:schemeClr val="bg1"/>
                </a:gs>
                <a:gs pos="86000">
                  <a:schemeClr val="bg1">
                    <a:lumMod val="65000"/>
                  </a:schemeClr>
                </a:gs>
              </a:gsLst>
              <a:lin ang="5400000" scaled="1"/>
            </a:gradFill>
            <a:latin typeface="Aptos Narrow"/>
            <a:ea typeface="+mn-ea"/>
            <a:cs typeface="+mn-cs"/>
          </a:endParaRPr>
        </a:p>
      </xdr:txBody>
    </xdr:sp>
    <xdr:clientData/>
  </xdr:twoCellAnchor>
  <xdr:twoCellAnchor>
    <xdr:from>
      <xdr:col>13</xdr:col>
      <xdr:colOff>320222</xdr:colOff>
      <xdr:row>21</xdr:row>
      <xdr:rowOff>82097</xdr:rowOff>
    </xdr:from>
    <xdr:to>
      <xdr:col>15</xdr:col>
      <xdr:colOff>90715</xdr:colOff>
      <xdr:row>24</xdr:row>
      <xdr:rowOff>36286</xdr:rowOff>
    </xdr:to>
    <xdr:sp macro="" textlink="Pivots!K4">
      <xdr:nvSpPr>
        <xdr:cNvPr id="11" name="TextBox 10">
          <a:extLst>
            <a:ext uri="{FF2B5EF4-FFF2-40B4-BE49-F238E27FC236}">
              <a16:creationId xmlns:a16="http://schemas.microsoft.com/office/drawing/2014/main" id="{BD01F4AE-869B-42DE-9B38-01B52B8A0B6A}"/>
            </a:ext>
          </a:extLst>
        </xdr:cNvPr>
        <xdr:cNvSpPr txBox="1"/>
      </xdr:nvSpPr>
      <xdr:spPr>
        <a:xfrm>
          <a:off x="8049079" y="3892097"/>
          <a:ext cx="986065" cy="498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DB958F-441B-4380-AAD9-A79F92E8503C}" type="TxLink">
            <a:rPr lang="en-US" sz="1800" b="1" i="0" u="none" strike="noStrike">
              <a:gradFill>
                <a:gsLst>
                  <a:gs pos="0">
                    <a:schemeClr val="bg1"/>
                  </a:gs>
                  <a:gs pos="86000">
                    <a:schemeClr val="bg1">
                      <a:lumMod val="65000"/>
                    </a:schemeClr>
                  </a:gs>
                </a:gsLst>
                <a:lin ang="5400000" scaled="1"/>
              </a:gradFill>
              <a:latin typeface="Aptos Narrow"/>
              <a:ea typeface="+mn-ea"/>
              <a:cs typeface="+mn-cs"/>
            </a:rPr>
            <a:pPr marL="0" indent="0"/>
            <a:t>2.3</a:t>
          </a:fld>
          <a:endParaRPr lang="en-IN" sz="1800" b="1" i="0" u="none" strike="noStrike">
            <a:gradFill>
              <a:gsLst>
                <a:gs pos="0">
                  <a:schemeClr val="bg1"/>
                </a:gs>
                <a:gs pos="86000">
                  <a:schemeClr val="bg1">
                    <a:lumMod val="65000"/>
                  </a:schemeClr>
                </a:gs>
              </a:gsLst>
              <a:lin ang="5400000" scaled="1"/>
            </a:gradFill>
            <a:latin typeface="Aptos Narrow"/>
            <a:ea typeface="+mn-ea"/>
            <a:cs typeface="+mn-cs"/>
          </a:endParaRPr>
        </a:p>
      </xdr:txBody>
    </xdr:sp>
    <xdr:clientData/>
  </xdr:twoCellAnchor>
  <xdr:twoCellAnchor>
    <xdr:from>
      <xdr:col>13</xdr:col>
      <xdr:colOff>263071</xdr:colOff>
      <xdr:row>4</xdr:row>
      <xdr:rowOff>133804</xdr:rowOff>
    </xdr:from>
    <xdr:to>
      <xdr:col>15</xdr:col>
      <xdr:colOff>56696</xdr:colOff>
      <xdr:row>6</xdr:row>
      <xdr:rowOff>102054</xdr:rowOff>
    </xdr:to>
    <xdr:sp macro="" textlink="">
      <xdr:nvSpPr>
        <xdr:cNvPr id="12" name="TextBox 11">
          <a:extLst>
            <a:ext uri="{FF2B5EF4-FFF2-40B4-BE49-F238E27FC236}">
              <a16:creationId xmlns:a16="http://schemas.microsoft.com/office/drawing/2014/main" id="{0D4B902D-93CC-B25A-BB6B-E5818A59DD20}"/>
            </a:ext>
          </a:extLst>
        </xdr:cNvPr>
        <xdr:cNvSpPr txBox="1"/>
      </xdr:nvSpPr>
      <xdr:spPr>
        <a:xfrm>
          <a:off x="7991928" y="859518"/>
          <a:ext cx="1009197" cy="33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a:effectLst/>
            </a:rPr>
            <a:t> </a:t>
          </a:r>
          <a:r>
            <a:rPr lang="en-IN" sz="1100">
              <a:solidFill>
                <a:schemeClr val="bg1"/>
              </a:solidFill>
            </a:rPr>
            <a:t>Oreders</a:t>
          </a:r>
        </a:p>
      </xdr:txBody>
    </xdr:sp>
    <xdr:clientData/>
  </xdr:twoCellAnchor>
  <xdr:twoCellAnchor>
    <xdr:from>
      <xdr:col>13</xdr:col>
      <xdr:colOff>263071</xdr:colOff>
      <xdr:row>8</xdr:row>
      <xdr:rowOff>129719</xdr:rowOff>
    </xdr:from>
    <xdr:to>
      <xdr:col>15</xdr:col>
      <xdr:colOff>56696</xdr:colOff>
      <xdr:row>10</xdr:row>
      <xdr:rowOff>97969</xdr:rowOff>
    </xdr:to>
    <xdr:sp macro="" textlink="">
      <xdr:nvSpPr>
        <xdr:cNvPr id="13" name="TextBox 12">
          <a:extLst>
            <a:ext uri="{FF2B5EF4-FFF2-40B4-BE49-F238E27FC236}">
              <a16:creationId xmlns:a16="http://schemas.microsoft.com/office/drawing/2014/main" id="{E0D7FDB8-94C0-4E83-B37B-7413FC3638AE}"/>
            </a:ext>
          </a:extLst>
        </xdr:cNvPr>
        <xdr:cNvSpPr txBox="1"/>
      </xdr:nvSpPr>
      <xdr:spPr>
        <a:xfrm>
          <a:off x="7991928" y="1581148"/>
          <a:ext cx="1009197" cy="33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a:effectLst/>
            </a:rPr>
            <a:t>  </a:t>
          </a:r>
          <a:r>
            <a:rPr lang="en-IN" sz="1100">
              <a:solidFill>
                <a:schemeClr val="bg1"/>
              </a:solidFill>
              <a:effectLst/>
            </a:rPr>
            <a:t>Quantity</a:t>
          </a:r>
          <a:endParaRPr lang="en-IN" sz="1100">
            <a:solidFill>
              <a:schemeClr val="bg1"/>
            </a:solidFill>
          </a:endParaRPr>
        </a:p>
      </xdr:txBody>
    </xdr:sp>
    <xdr:clientData/>
  </xdr:twoCellAnchor>
  <xdr:twoCellAnchor>
    <xdr:from>
      <xdr:col>13</xdr:col>
      <xdr:colOff>263071</xdr:colOff>
      <xdr:row>12</xdr:row>
      <xdr:rowOff>172807</xdr:rowOff>
    </xdr:from>
    <xdr:to>
      <xdr:col>15</xdr:col>
      <xdr:colOff>154213</xdr:colOff>
      <xdr:row>14</xdr:row>
      <xdr:rowOff>36737</xdr:rowOff>
    </xdr:to>
    <xdr:sp macro="" textlink="">
      <xdr:nvSpPr>
        <xdr:cNvPr id="17" name="TextBox 16">
          <a:extLst>
            <a:ext uri="{FF2B5EF4-FFF2-40B4-BE49-F238E27FC236}">
              <a16:creationId xmlns:a16="http://schemas.microsoft.com/office/drawing/2014/main" id="{D1ED5D93-5AD4-BDE8-E21B-88E05BAEEC35}"/>
            </a:ext>
          </a:extLst>
        </xdr:cNvPr>
        <xdr:cNvSpPr txBox="1"/>
      </xdr:nvSpPr>
      <xdr:spPr>
        <a:xfrm>
          <a:off x="7991928" y="2349950"/>
          <a:ext cx="1106714" cy="226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a:effectLst/>
            </a:rPr>
            <a:t> </a:t>
          </a:r>
          <a:r>
            <a:rPr lang="en-IN" sz="1100">
              <a:solidFill>
                <a:schemeClr val="bg1"/>
              </a:solidFill>
              <a:latin typeface="+mn-lt"/>
              <a:ea typeface="+mn-ea"/>
              <a:cs typeface="+mn-cs"/>
            </a:rPr>
            <a:t>Amount</a:t>
          </a:r>
        </a:p>
      </xdr:txBody>
    </xdr:sp>
    <xdr:clientData/>
  </xdr:twoCellAnchor>
  <xdr:twoCellAnchor>
    <xdr:from>
      <xdr:col>13</xdr:col>
      <xdr:colOff>253999</xdr:colOff>
      <xdr:row>16</xdr:row>
      <xdr:rowOff>102959</xdr:rowOff>
    </xdr:from>
    <xdr:to>
      <xdr:col>15</xdr:col>
      <xdr:colOff>444498</xdr:colOff>
      <xdr:row>17</xdr:row>
      <xdr:rowOff>148316</xdr:rowOff>
    </xdr:to>
    <xdr:sp macro="" textlink="">
      <xdr:nvSpPr>
        <xdr:cNvPr id="18" name="TextBox 17">
          <a:extLst>
            <a:ext uri="{FF2B5EF4-FFF2-40B4-BE49-F238E27FC236}">
              <a16:creationId xmlns:a16="http://schemas.microsoft.com/office/drawing/2014/main" id="{F2AADD0A-878D-998F-C015-BD3A2A5C2D7A}"/>
            </a:ext>
          </a:extLst>
        </xdr:cNvPr>
        <xdr:cNvSpPr txBox="1"/>
      </xdr:nvSpPr>
      <xdr:spPr>
        <a:xfrm>
          <a:off x="7982856" y="3005816"/>
          <a:ext cx="1406071" cy="226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a:effectLst/>
            </a:rPr>
            <a:t> </a:t>
          </a:r>
          <a:r>
            <a:rPr lang="en-IN" sz="1100">
              <a:solidFill>
                <a:schemeClr val="bg1"/>
              </a:solidFill>
              <a:latin typeface="+mn-lt"/>
              <a:ea typeface="+mn-ea"/>
              <a:cs typeface="+mn-cs"/>
            </a:rPr>
            <a:t>Avg</a:t>
          </a:r>
          <a:r>
            <a:rPr lang="en-IN">
              <a:effectLst/>
            </a:rPr>
            <a:t>. </a:t>
          </a:r>
          <a:r>
            <a:rPr lang="en-IN" sz="1100">
              <a:solidFill>
                <a:schemeClr val="bg1"/>
              </a:solidFill>
              <a:latin typeface="+mn-lt"/>
              <a:ea typeface="+mn-ea"/>
              <a:cs typeface="+mn-cs"/>
            </a:rPr>
            <a:t>Rating</a:t>
          </a:r>
        </a:p>
      </xdr:txBody>
    </xdr:sp>
    <xdr:clientData/>
  </xdr:twoCellAnchor>
  <xdr:twoCellAnchor>
    <xdr:from>
      <xdr:col>13</xdr:col>
      <xdr:colOff>199571</xdr:colOff>
      <xdr:row>19</xdr:row>
      <xdr:rowOff>145142</xdr:rowOff>
    </xdr:from>
    <xdr:to>
      <xdr:col>15</xdr:col>
      <xdr:colOff>390070</xdr:colOff>
      <xdr:row>21</xdr:row>
      <xdr:rowOff>18142</xdr:rowOff>
    </xdr:to>
    <xdr:sp macro="" textlink="">
      <xdr:nvSpPr>
        <xdr:cNvPr id="19" name="TextBox 18">
          <a:extLst>
            <a:ext uri="{FF2B5EF4-FFF2-40B4-BE49-F238E27FC236}">
              <a16:creationId xmlns:a16="http://schemas.microsoft.com/office/drawing/2014/main" id="{611C29CD-D841-230D-1B23-E17F8C810563}"/>
            </a:ext>
          </a:extLst>
        </xdr:cNvPr>
        <xdr:cNvSpPr txBox="1"/>
      </xdr:nvSpPr>
      <xdr:spPr>
        <a:xfrm>
          <a:off x="7928428" y="3592285"/>
          <a:ext cx="1406071" cy="235857"/>
        </a:xfrm>
        <a:prstGeom prst="rect">
          <a:avLst/>
        </a:prstGeom>
        <a:no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effectLst>
                <a:outerShdw blurRad="50800" dist="38100" algn="l" rotWithShape="0">
                  <a:prstClr val="black">
                    <a:alpha val="40000"/>
                  </a:prstClr>
                </a:outerShdw>
              </a:effectLst>
              <a:latin typeface="+mn-lt"/>
              <a:ea typeface="+mn-ea"/>
              <a:cs typeface="+mn-cs"/>
            </a:rPr>
            <a:t>📅 Days of Deliver</a:t>
          </a:r>
        </a:p>
      </xdr:txBody>
    </xdr:sp>
    <xdr:clientData/>
  </xdr:twoCellAnchor>
  <xdr:twoCellAnchor>
    <xdr:from>
      <xdr:col>16</xdr:col>
      <xdr:colOff>523876</xdr:colOff>
      <xdr:row>1</xdr:row>
      <xdr:rowOff>163286</xdr:rowOff>
    </xdr:from>
    <xdr:to>
      <xdr:col>22</xdr:col>
      <xdr:colOff>428626</xdr:colOff>
      <xdr:row>15</xdr:row>
      <xdr:rowOff>79375</xdr:rowOff>
    </xdr:to>
    <xdr:sp macro="" textlink="">
      <xdr:nvSpPr>
        <xdr:cNvPr id="22" name="Rectangle: Rounded Corners 21">
          <a:extLst>
            <a:ext uri="{FF2B5EF4-FFF2-40B4-BE49-F238E27FC236}">
              <a16:creationId xmlns:a16="http://schemas.microsoft.com/office/drawing/2014/main" id="{E382FCF0-9405-BE2D-4931-485731E33290}"/>
            </a:ext>
          </a:extLst>
        </xdr:cNvPr>
        <xdr:cNvSpPr/>
      </xdr:nvSpPr>
      <xdr:spPr>
        <a:xfrm>
          <a:off x="10033001" y="353786"/>
          <a:ext cx="3524250" cy="258308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104320</xdr:colOff>
      <xdr:row>5</xdr:row>
      <xdr:rowOff>95250</xdr:rowOff>
    </xdr:from>
    <xdr:to>
      <xdr:col>22</xdr:col>
      <xdr:colOff>333375</xdr:colOff>
      <xdr:row>15</xdr:row>
      <xdr:rowOff>79375</xdr:rowOff>
    </xdr:to>
    <xdr:graphicFrame macro="">
      <xdr:nvGraphicFramePr>
        <xdr:cNvPr id="20" name="Chart 19">
          <a:extLst>
            <a:ext uri="{FF2B5EF4-FFF2-40B4-BE49-F238E27FC236}">
              <a16:creationId xmlns:a16="http://schemas.microsoft.com/office/drawing/2014/main" id="{B9F432FE-787D-4C6D-90B5-BF31AA6DA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127000</xdr:colOff>
      <xdr:row>1</xdr:row>
      <xdr:rowOff>183698</xdr:rowOff>
    </xdr:from>
    <xdr:to>
      <xdr:col>29</xdr:col>
      <xdr:colOff>428625</xdr:colOff>
      <xdr:row>15</xdr:row>
      <xdr:rowOff>15876</xdr:rowOff>
    </xdr:to>
    <xdr:sp macro="" textlink="">
      <xdr:nvSpPr>
        <xdr:cNvPr id="23" name="Rectangle: Rounded Corners 22">
          <a:extLst>
            <a:ext uri="{FF2B5EF4-FFF2-40B4-BE49-F238E27FC236}">
              <a16:creationId xmlns:a16="http://schemas.microsoft.com/office/drawing/2014/main" id="{4D9DDA75-FE72-4300-8A33-DBF156BE1664}"/>
            </a:ext>
          </a:extLst>
        </xdr:cNvPr>
        <xdr:cNvSpPr/>
      </xdr:nvSpPr>
      <xdr:spPr>
        <a:xfrm>
          <a:off x="13858875" y="374198"/>
          <a:ext cx="3556000" cy="24991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24</xdr:col>
          <xdr:colOff>27215</xdr:colOff>
          <xdr:row>4</xdr:row>
          <xdr:rowOff>136071</xdr:rowOff>
        </xdr:from>
        <xdr:to>
          <xdr:col>28</xdr:col>
          <xdr:colOff>532494</xdr:colOff>
          <xdr:row>13</xdr:row>
          <xdr:rowOff>11793</xdr:rowOff>
        </xdr:to>
        <xdr:pic>
          <xdr:nvPicPr>
            <xdr:cNvPr id="21" name="Picture 20">
              <a:extLst>
                <a:ext uri="{FF2B5EF4-FFF2-40B4-BE49-F238E27FC236}">
                  <a16:creationId xmlns:a16="http://schemas.microsoft.com/office/drawing/2014/main" id="{4BA816F5-A6BD-7847-E59D-5E95A797CA09}"/>
                </a:ext>
              </a:extLst>
            </xdr:cNvPr>
            <xdr:cNvPicPr>
              <a:picLocks noChangeAspect="1" noChangeArrowheads="1"/>
              <a:extLst>
                <a:ext uri="{84589F7E-364E-4C9E-8A38-B11213B215E9}">
                  <a14:cameraTool cellRange="Sheet3!$H$4:$L$9" spid="_x0000_s1063"/>
                </a:ext>
              </a:extLst>
            </xdr:cNvPicPr>
          </xdr:nvPicPr>
          <xdr:blipFill>
            <a:blip xmlns:r="http://schemas.openxmlformats.org/officeDocument/2006/relationships" r:embed="rId3"/>
            <a:srcRect/>
            <a:stretch>
              <a:fillRect/>
            </a:stretch>
          </xdr:blipFill>
          <xdr:spPr bwMode="auto">
            <a:xfrm>
              <a:off x="14441715" y="861785"/>
              <a:ext cx="2564493" cy="150857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30</xdr:col>
      <xdr:colOff>31749</xdr:colOff>
      <xdr:row>2</xdr:row>
      <xdr:rowOff>1</xdr:rowOff>
    </xdr:from>
    <xdr:to>
      <xdr:col>35</xdr:col>
      <xdr:colOff>290286</xdr:colOff>
      <xdr:row>15</xdr:row>
      <xdr:rowOff>47625</xdr:rowOff>
    </xdr:to>
    <xdr:sp macro="" textlink="">
      <xdr:nvSpPr>
        <xdr:cNvPr id="25" name="Rectangle: Rounded Corners 24">
          <a:extLst>
            <a:ext uri="{FF2B5EF4-FFF2-40B4-BE49-F238E27FC236}">
              <a16:creationId xmlns:a16="http://schemas.microsoft.com/office/drawing/2014/main" id="{526C346B-6A91-4488-BA05-7F2E3C1CD1A9}"/>
            </a:ext>
          </a:extLst>
        </xdr:cNvPr>
        <xdr:cNvSpPr/>
      </xdr:nvSpPr>
      <xdr:spPr>
        <a:xfrm>
          <a:off x="17621249" y="381001"/>
          <a:ext cx="3274787" cy="252412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115661</xdr:colOff>
      <xdr:row>4</xdr:row>
      <xdr:rowOff>4536</xdr:rowOff>
    </xdr:from>
    <xdr:to>
      <xdr:col>35</xdr:col>
      <xdr:colOff>229054</xdr:colOff>
      <xdr:row>15</xdr:row>
      <xdr:rowOff>40821</xdr:rowOff>
    </xdr:to>
    <xdr:graphicFrame macro="">
      <xdr:nvGraphicFramePr>
        <xdr:cNvPr id="24" name="Chart 23">
          <a:extLst>
            <a:ext uri="{FF2B5EF4-FFF2-40B4-BE49-F238E27FC236}">
              <a16:creationId xmlns:a16="http://schemas.microsoft.com/office/drawing/2014/main" id="{8CED938A-41A0-4E7A-BD3C-BAD3C2AF6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303893</xdr:colOff>
      <xdr:row>35</xdr:row>
      <xdr:rowOff>63502</xdr:rowOff>
    </xdr:from>
    <xdr:to>
      <xdr:col>20</xdr:col>
      <xdr:colOff>526143</xdr:colOff>
      <xdr:row>42</xdr:row>
      <xdr:rowOff>90715</xdr:rowOff>
    </xdr:to>
    <xdr:graphicFrame macro="">
      <xdr:nvGraphicFramePr>
        <xdr:cNvPr id="27" name="Chart 26">
          <a:extLst>
            <a:ext uri="{FF2B5EF4-FFF2-40B4-BE49-F238E27FC236}">
              <a16:creationId xmlns:a16="http://schemas.microsoft.com/office/drawing/2014/main" id="{C28492E5-38C1-4C02-90F5-8E2A1AC6F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120196</xdr:colOff>
      <xdr:row>16</xdr:row>
      <xdr:rowOff>111124</xdr:rowOff>
    </xdr:from>
    <xdr:to>
      <xdr:col>29</xdr:col>
      <xdr:colOff>460375</xdr:colOff>
      <xdr:row>43</xdr:row>
      <xdr:rowOff>95249</xdr:rowOff>
    </xdr:to>
    <xdr:sp macro="" textlink="">
      <xdr:nvSpPr>
        <xdr:cNvPr id="46" name="Rectangle: Rounded Corners 45">
          <a:extLst>
            <a:ext uri="{FF2B5EF4-FFF2-40B4-BE49-F238E27FC236}">
              <a16:creationId xmlns:a16="http://schemas.microsoft.com/office/drawing/2014/main" id="{8419872E-4411-4A9F-BC07-7A549AB4B906}"/>
            </a:ext>
          </a:extLst>
        </xdr:cNvPr>
        <xdr:cNvSpPr/>
      </xdr:nvSpPr>
      <xdr:spPr>
        <a:xfrm>
          <a:off x="13852071" y="3159124"/>
          <a:ext cx="3594554" cy="5127625"/>
        </a:xfrm>
        <a:prstGeom prst="roundRect">
          <a:avLst>
            <a:gd name="adj" fmla="val 113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396875</xdr:colOff>
      <xdr:row>20</xdr:row>
      <xdr:rowOff>79376</xdr:rowOff>
    </xdr:from>
    <xdr:to>
      <xdr:col>29</xdr:col>
      <xdr:colOff>285749</xdr:colOff>
      <xdr:row>43</xdr:row>
      <xdr:rowOff>15876</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65A978A8-55E6-4C57-90B8-BF241530A2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233525" y="3762376"/>
              <a:ext cx="3171824" cy="4171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235857</xdr:colOff>
      <xdr:row>24</xdr:row>
      <xdr:rowOff>117929</xdr:rowOff>
    </xdr:from>
    <xdr:to>
      <xdr:col>16</xdr:col>
      <xdr:colOff>254907</xdr:colOff>
      <xdr:row>33</xdr:row>
      <xdr:rowOff>174625</xdr:rowOff>
    </xdr:to>
    <mc:AlternateContent xmlns:mc="http://schemas.openxmlformats.org/markup-compatibility/2006" xmlns:a14="http://schemas.microsoft.com/office/drawing/2010/main">
      <mc:Choice Requires="a14">
        <xdr:graphicFrame macro="">
          <xdr:nvGraphicFramePr>
            <xdr:cNvPr id="40" name="Order Mode 1">
              <a:extLst>
                <a:ext uri="{FF2B5EF4-FFF2-40B4-BE49-F238E27FC236}">
                  <a16:creationId xmlns:a16="http://schemas.microsoft.com/office/drawing/2014/main" id="{2CF64C35-16EB-4F48-9004-ED49BAABCE77}"/>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8004024" y="4435929"/>
              <a:ext cx="1860550" cy="1675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261257</xdr:colOff>
      <xdr:row>34</xdr:row>
      <xdr:rowOff>143329</xdr:rowOff>
    </xdr:from>
    <xdr:to>
      <xdr:col>16</xdr:col>
      <xdr:colOff>222250</xdr:colOff>
      <xdr:row>42</xdr:row>
      <xdr:rowOff>79375</xdr:rowOff>
    </xdr:to>
    <mc:AlternateContent xmlns:mc="http://schemas.openxmlformats.org/markup-compatibility/2006" xmlns:a14="http://schemas.microsoft.com/office/drawing/2010/main">
      <mc:Choice Requires="a14">
        <xdr:graphicFrame macro="">
          <xdr:nvGraphicFramePr>
            <xdr:cNvPr id="41" name="Gender Value 1">
              <a:extLst>
                <a:ext uri="{FF2B5EF4-FFF2-40B4-BE49-F238E27FC236}">
                  <a16:creationId xmlns:a16="http://schemas.microsoft.com/office/drawing/2014/main" id="{E94DA6D9-1615-43B5-BA43-EF96223A00BF}"/>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8029424" y="6260496"/>
              <a:ext cx="1802493" cy="137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31751</xdr:colOff>
      <xdr:row>2</xdr:row>
      <xdr:rowOff>174625</xdr:rowOff>
    </xdr:from>
    <xdr:to>
      <xdr:col>21</xdr:col>
      <xdr:colOff>444501</xdr:colOff>
      <xdr:row>4</xdr:row>
      <xdr:rowOff>31750</xdr:rowOff>
    </xdr:to>
    <xdr:sp macro="" textlink="">
      <xdr:nvSpPr>
        <xdr:cNvPr id="42" name="TextBox 41">
          <a:extLst>
            <a:ext uri="{FF2B5EF4-FFF2-40B4-BE49-F238E27FC236}">
              <a16:creationId xmlns:a16="http://schemas.microsoft.com/office/drawing/2014/main" id="{23AD8A29-F269-7A41-CAF8-F425EF7C523E}"/>
            </a:ext>
          </a:extLst>
        </xdr:cNvPr>
        <xdr:cNvSpPr txBox="1"/>
      </xdr:nvSpPr>
      <xdr:spPr>
        <a:xfrm>
          <a:off x="10144126" y="555625"/>
          <a:ext cx="2825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Last 30 Weeks</a:t>
          </a:r>
          <a:r>
            <a:rPr lang="en-IN" sz="1100" baseline="0"/>
            <a:t> Trends - Qty &amp; Amount</a:t>
          </a:r>
          <a:endParaRPr lang="en-IN" sz="1100"/>
        </a:p>
      </xdr:txBody>
    </xdr:sp>
    <xdr:clientData/>
  </xdr:twoCellAnchor>
  <xdr:twoCellAnchor>
    <xdr:from>
      <xdr:col>16</xdr:col>
      <xdr:colOff>487589</xdr:colOff>
      <xdr:row>16</xdr:row>
      <xdr:rowOff>90715</xdr:rowOff>
    </xdr:from>
    <xdr:to>
      <xdr:col>22</xdr:col>
      <xdr:colOff>462643</xdr:colOff>
      <xdr:row>43</xdr:row>
      <xdr:rowOff>74840</xdr:rowOff>
    </xdr:to>
    <xdr:sp macro="" textlink="">
      <xdr:nvSpPr>
        <xdr:cNvPr id="49" name="Rectangle: Rounded Corners 48">
          <a:extLst>
            <a:ext uri="{FF2B5EF4-FFF2-40B4-BE49-F238E27FC236}">
              <a16:creationId xmlns:a16="http://schemas.microsoft.com/office/drawing/2014/main" id="{F14CDBBF-8723-43CA-BD9D-5F1EC6844593}"/>
            </a:ext>
          </a:extLst>
        </xdr:cNvPr>
        <xdr:cNvSpPr/>
      </xdr:nvSpPr>
      <xdr:spPr>
        <a:xfrm>
          <a:off x="9996714" y="3138715"/>
          <a:ext cx="3594554" cy="5127625"/>
        </a:xfrm>
        <a:prstGeom prst="roundRect">
          <a:avLst>
            <a:gd name="adj" fmla="val 113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492125</xdr:colOff>
      <xdr:row>16</xdr:row>
      <xdr:rowOff>174625</xdr:rowOff>
    </xdr:from>
    <xdr:to>
      <xdr:col>22</xdr:col>
      <xdr:colOff>523875</xdr:colOff>
      <xdr:row>42</xdr:row>
      <xdr:rowOff>31750</xdr:rowOff>
    </xdr:to>
    <xdr:graphicFrame macro="">
      <xdr:nvGraphicFramePr>
        <xdr:cNvPr id="26" name="Chart 25">
          <a:extLst>
            <a:ext uri="{FF2B5EF4-FFF2-40B4-BE49-F238E27FC236}">
              <a16:creationId xmlns:a16="http://schemas.microsoft.com/office/drawing/2014/main" id="{E480C35D-7D88-45BF-B63A-FD327D024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269875</xdr:colOff>
      <xdr:row>2</xdr:row>
      <xdr:rowOff>158750</xdr:rowOff>
    </xdr:from>
    <xdr:to>
      <xdr:col>28</xdr:col>
      <xdr:colOff>79375</xdr:colOff>
      <xdr:row>3</xdr:row>
      <xdr:rowOff>174625</xdr:rowOff>
    </xdr:to>
    <xdr:sp macro="" textlink="">
      <xdr:nvSpPr>
        <xdr:cNvPr id="43" name="TextBox 42">
          <a:extLst>
            <a:ext uri="{FF2B5EF4-FFF2-40B4-BE49-F238E27FC236}">
              <a16:creationId xmlns:a16="http://schemas.microsoft.com/office/drawing/2014/main" id="{84F6E100-7E7A-314A-402E-17156CDC1E6A}"/>
            </a:ext>
          </a:extLst>
        </xdr:cNvPr>
        <xdr:cNvSpPr txBox="1"/>
      </xdr:nvSpPr>
      <xdr:spPr>
        <a:xfrm>
          <a:off x="14001750" y="539750"/>
          <a:ext cx="2460625" cy="206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How they like to buy?</a:t>
          </a:r>
        </a:p>
      </xdr:txBody>
    </xdr:sp>
    <xdr:clientData/>
  </xdr:twoCellAnchor>
  <xdr:twoCellAnchor>
    <xdr:from>
      <xdr:col>30</xdr:col>
      <xdr:colOff>174625</xdr:colOff>
      <xdr:row>2</xdr:row>
      <xdr:rowOff>79375</xdr:rowOff>
    </xdr:from>
    <xdr:to>
      <xdr:col>33</xdr:col>
      <xdr:colOff>555625</xdr:colOff>
      <xdr:row>3</xdr:row>
      <xdr:rowOff>127000</xdr:rowOff>
    </xdr:to>
    <xdr:sp macro="" textlink="">
      <xdr:nvSpPr>
        <xdr:cNvPr id="44" name="TextBox 43">
          <a:extLst>
            <a:ext uri="{FF2B5EF4-FFF2-40B4-BE49-F238E27FC236}">
              <a16:creationId xmlns:a16="http://schemas.microsoft.com/office/drawing/2014/main" id="{99281EFB-1B3D-229C-66CF-90D8FE67803E}"/>
            </a:ext>
          </a:extLst>
        </xdr:cNvPr>
        <xdr:cNvSpPr txBox="1"/>
      </xdr:nvSpPr>
      <xdr:spPr>
        <a:xfrm>
          <a:off x="17764125" y="460375"/>
          <a:ext cx="2190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How many they buy?</a:t>
          </a:r>
        </a:p>
      </xdr:txBody>
    </xdr:sp>
    <xdr:clientData/>
  </xdr:twoCellAnchor>
  <xdr:twoCellAnchor>
    <xdr:from>
      <xdr:col>30</xdr:col>
      <xdr:colOff>79376</xdr:colOff>
      <xdr:row>16</xdr:row>
      <xdr:rowOff>111125</xdr:rowOff>
    </xdr:from>
    <xdr:to>
      <xdr:col>35</xdr:col>
      <xdr:colOff>269875</xdr:colOff>
      <xdr:row>28</xdr:row>
      <xdr:rowOff>142875</xdr:rowOff>
    </xdr:to>
    <xdr:sp macro="" textlink="">
      <xdr:nvSpPr>
        <xdr:cNvPr id="48" name="Rectangle: Rounded Corners 47">
          <a:extLst>
            <a:ext uri="{FF2B5EF4-FFF2-40B4-BE49-F238E27FC236}">
              <a16:creationId xmlns:a16="http://schemas.microsoft.com/office/drawing/2014/main" id="{9130825A-D9DF-41E5-BBCA-FF92FA91CD99}"/>
            </a:ext>
          </a:extLst>
        </xdr:cNvPr>
        <xdr:cNvSpPr/>
      </xdr:nvSpPr>
      <xdr:spPr>
        <a:xfrm>
          <a:off x="17668876" y="3159125"/>
          <a:ext cx="3206749" cy="2317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206375</xdr:colOff>
      <xdr:row>17</xdr:row>
      <xdr:rowOff>158749</xdr:rowOff>
    </xdr:from>
    <xdr:to>
      <xdr:col>35</xdr:col>
      <xdr:colOff>174624</xdr:colOff>
      <xdr:row>28</xdr:row>
      <xdr:rowOff>142874</xdr:rowOff>
    </xdr:to>
    <xdr:graphicFrame macro="">
      <xdr:nvGraphicFramePr>
        <xdr:cNvPr id="34" name="Chart 33">
          <a:extLst>
            <a:ext uri="{FF2B5EF4-FFF2-40B4-BE49-F238E27FC236}">
              <a16:creationId xmlns:a16="http://schemas.microsoft.com/office/drawing/2014/main" id="{B3F8FBB0-4CDC-4528-A990-36E04C76E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-1</xdr:colOff>
      <xdr:row>26</xdr:row>
      <xdr:rowOff>111126</xdr:rowOff>
    </xdr:from>
    <xdr:to>
      <xdr:col>29</xdr:col>
      <xdr:colOff>190500</xdr:colOff>
      <xdr:row>32</xdr:row>
      <xdr:rowOff>111126</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A36C114C-3BD3-45A2-B088-1616A40696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6509999" y="4899026"/>
              <a:ext cx="800101" cy="1104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31749</xdr:colOff>
      <xdr:row>29</xdr:row>
      <xdr:rowOff>27215</xdr:rowOff>
    </xdr:from>
    <xdr:to>
      <xdr:col>35</xdr:col>
      <xdr:colOff>238124</xdr:colOff>
      <xdr:row>43</xdr:row>
      <xdr:rowOff>127000</xdr:rowOff>
    </xdr:to>
    <xdr:sp macro="" textlink="">
      <xdr:nvSpPr>
        <xdr:cNvPr id="50" name="Rectangle: Rounded Corners 49">
          <a:extLst>
            <a:ext uri="{FF2B5EF4-FFF2-40B4-BE49-F238E27FC236}">
              <a16:creationId xmlns:a16="http://schemas.microsoft.com/office/drawing/2014/main" id="{7A7ECA01-344E-4696-8D85-2705EA6105EE}"/>
            </a:ext>
          </a:extLst>
        </xdr:cNvPr>
        <xdr:cNvSpPr/>
      </xdr:nvSpPr>
      <xdr:spPr>
        <a:xfrm>
          <a:off x="17621249" y="5551715"/>
          <a:ext cx="3222625" cy="276678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428625</xdr:colOff>
      <xdr:row>17</xdr:row>
      <xdr:rowOff>79375</xdr:rowOff>
    </xdr:from>
    <xdr:to>
      <xdr:col>28</xdr:col>
      <xdr:colOff>365125</xdr:colOff>
      <xdr:row>19</xdr:row>
      <xdr:rowOff>15875</xdr:rowOff>
    </xdr:to>
    <xdr:sp macro="" textlink="">
      <xdr:nvSpPr>
        <xdr:cNvPr id="47" name="TextBox 46">
          <a:extLst>
            <a:ext uri="{FF2B5EF4-FFF2-40B4-BE49-F238E27FC236}">
              <a16:creationId xmlns:a16="http://schemas.microsoft.com/office/drawing/2014/main" id="{8D561E32-13A2-DF8F-B6B3-4E9CFAC41216}"/>
            </a:ext>
          </a:extLst>
        </xdr:cNvPr>
        <xdr:cNvSpPr txBox="1"/>
      </xdr:nvSpPr>
      <xdr:spPr>
        <a:xfrm>
          <a:off x="14160500" y="3317875"/>
          <a:ext cx="2587625"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Where do our customers live?</a:t>
          </a:r>
        </a:p>
      </xdr:txBody>
    </xdr:sp>
    <xdr:clientData/>
  </xdr:twoCellAnchor>
  <xdr:twoCellAnchor>
    <xdr:from>
      <xdr:col>30</xdr:col>
      <xdr:colOff>120196</xdr:colOff>
      <xdr:row>31</xdr:row>
      <xdr:rowOff>31749</xdr:rowOff>
    </xdr:from>
    <xdr:to>
      <xdr:col>35</xdr:col>
      <xdr:colOff>127000</xdr:colOff>
      <xdr:row>42</xdr:row>
      <xdr:rowOff>79374</xdr:rowOff>
    </xdr:to>
    <xdr:graphicFrame macro="">
      <xdr:nvGraphicFramePr>
        <xdr:cNvPr id="35" name="Chart 34">
          <a:extLst>
            <a:ext uri="{FF2B5EF4-FFF2-40B4-BE49-F238E27FC236}">
              <a16:creationId xmlns:a16="http://schemas.microsoft.com/office/drawing/2014/main" id="{91710A55-8ADA-4050-86E2-85C8075C2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349250</xdr:colOff>
      <xdr:row>17</xdr:row>
      <xdr:rowOff>0</xdr:rowOff>
    </xdr:from>
    <xdr:to>
      <xdr:col>34</xdr:col>
      <xdr:colOff>539750</xdr:colOff>
      <xdr:row>18</xdr:row>
      <xdr:rowOff>31750</xdr:rowOff>
    </xdr:to>
    <xdr:sp macro="" textlink="">
      <xdr:nvSpPr>
        <xdr:cNvPr id="51" name="TextBox 50">
          <a:extLst>
            <a:ext uri="{FF2B5EF4-FFF2-40B4-BE49-F238E27FC236}">
              <a16:creationId xmlns:a16="http://schemas.microsoft.com/office/drawing/2014/main" id="{BB75634B-FA51-1F87-C6C4-1B7697EAAC52}"/>
            </a:ext>
          </a:extLst>
        </xdr:cNvPr>
        <xdr:cNvSpPr txBox="1"/>
      </xdr:nvSpPr>
      <xdr:spPr>
        <a:xfrm>
          <a:off x="17938750" y="3238500"/>
          <a:ext cx="26035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How long </a:t>
          </a:r>
          <a:r>
            <a:rPr lang="en-IN" sz="1100" baseline="0"/>
            <a:t> we take to ship?</a:t>
          </a:r>
          <a:endParaRPr lang="en-IN" sz="1100"/>
        </a:p>
      </xdr:txBody>
    </xdr:sp>
    <xdr:clientData/>
  </xdr:twoCellAnchor>
  <xdr:twoCellAnchor>
    <xdr:from>
      <xdr:col>30</xdr:col>
      <xdr:colOff>285750</xdr:colOff>
      <xdr:row>29</xdr:row>
      <xdr:rowOff>142875</xdr:rowOff>
    </xdr:from>
    <xdr:to>
      <xdr:col>34</xdr:col>
      <xdr:colOff>523875</xdr:colOff>
      <xdr:row>30</xdr:row>
      <xdr:rowOff>174625</xdr:rowOff>
    </xdr:to>
    <xdr:sp macro="" textlink="">
      <xdr:nvSpPr>
        <xdr:cNvPr id="52" name="TextBox 51">
          <a:extLst>
            <a:ext uri="{FF2B5EF4-FFF2-40B4-BE49-F238E27FC236}">
              <a16:creationId xmlns:a16="http://schemas.microsoft.com/office/drawing/2014/main" id="{7A4A8B7F-C2F0-C94C-6A85-A56C1BE78F8C}"/>
            </a:ext>
          </a:extLst>
        </xdr:cNvPr>
        <xdr:cNvSpPr txBox="1"/>
      </xdr:nvSpPr>
      <xdr:spPr>
        <a:xfrm>
          <a:off x="18108083" y="5360458"/>
          <a:ext cx="2693459"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How satisfied</a:t>
          </a:r>
          <a:r>
            <a:rPr lang="en-IN" sz="1100" baseline="0"/>
            <a:t> are our customers?</a:t>
          </a:r>
          <a:endParaRPr lang="en-IN"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0.02025</cdr:x>
      <cdr:y>0.00955</cdr:y>
    </cdr:from>
    <cdr:to>
      <cdr:x>0.96248</cdr:x>
      <cdr:y>0.07643</cdr:y>
    </cdr:to>
    <cdr:sp macro="" textlink="">
      <cdr:nvSpPr>
        <cdr:cNvPr id="2" name="TextBox 1">
          <a:extLst xmlns:a="http://schemas.openxmlformats.org/drawingml/2006/main">
            <a:ext uri="{FF2B5EF4-FFF2-40B4-BE49-F238E27FC236}">
              <a16:creationId xmlns:a16="http://schemas.microsoft.com/office/drawing/2014/main" id="{4B598670-2015-59A7-5833-0AA3C4C660EB}"/>
            </a:ext>
          </a:extLst>
        </cdr:cNvPr>
        <cdr:cNvSpPr txBox="1"/>
      </cdr:nvSpPr>
      <cdr:spPr>
        <a:xfrm xmlns:a="http://schemas.openxmlformats.org/drawingml/2006/main">
          <a:off x="77108" y="47625"/>
          <a:ext cx="3587750" cy="333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Which products are</a:t>
          </a:r>
          <a:r>
            <a:rPr lang="en-IN" sz="1100" kern="1200" baseline="0"/>
            <a:t> </a:t>
          </a:r>
          <a:r>
            <a:rPr lang="en-IN" sz="1100" kern="1200"/>
            <a:t>popular? Breakdown by Gender</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Thombare" refreshedDate="46039.446685532406" createdVersion="8" refreshedVersion="8" minRefreshableVersion="3" recordCount="2400" xr:uid="{AEC7EB5C-E671-47F6-9591-1FD46C7D8AFF}">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647881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921269-1FAB-44AC-806A-EAADB353C26F}" name="pvt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P46:Q51"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h="1" x="0"/>
        <item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2">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 chart="32" format="11"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14" count="1" selected="0">
            <x v="0"/>
          </reference>
        </references>
      </pivotArea>
    </chartFormat>
    <chartFormat chart="33" format="12">
      <pivotArea type="data" outline="0" fieldPosition="0">
        <references count="2">
          <reference field="4294967294" count="1" selected="0">
            <x v="0"/>
          </reference>
          <reference field="14" count="1" selected="0">
            <x v="1"/>
          </reference>
        </references>
      </pivotArea>
    </chartFormat>
    <chartFormat chart="33" format="13">
      <pivotArea type="data" outline="0" fieldPosition="0">
        <references count="2">
          <reference field="4294967294" count="1" selected="0">
            <x v="0"/>
          </reference>
          <reference field="14" count="1" selected="0">
            <x v="3"/>
          </reference>
        </references>
      </pivotArea>
    </chartFormat>
    <chartFormat chart="33" format="14">
      <pivotArea type="data" outline="0" fieldPosition="0">
        <references count="2">
          <reference field="4294967294" count="1" selected="0">
            <x v="0"/>
          </reference>
          <reference field="14" count="1" selected="0">
            <x v="2"/>
          </reference>
        </references>
      </pivotArea>
    </chartFormat>
    <chartFormat chart="30" format="1">
      <pivotArea type="data" outline="0" fieldPosition="0">
        <references count="2">
          <reference field="4294967294" count="1" selected="0">
            <x v="0"/>
          </reference>
          <reference field="14" count="1" selected="0">
            <x v="0"/>
          </reference>
        </references>
      </pivotArea>
    </chartFormat>
    <chartFormat chart="30" format="2">
      <pivotArea type="data" outline="0" fieldPosition="0">
        <references count="2">
          <reference field="4294967294" count="1" selected="0">
            <x v="0"/>
          </reference>
          <reference field="14" count="1" selected="0">
            <x v="1"/>
          </reference>
        </references>
      </pivotArea>
    </chartFormat>
    <chartFormat chart="30" format="3">
      <pivotArea type="data" outline="0" fieldPosition="0">
        <references count="2">
          <reference field="4294967294" count="1" selected="0">
            <x v="0"/>
          </reference>
          <reference field="14" count="1" selected="0">
            <x v="2"/>
          </reference>
        </references>
      </pivotArea>
    </chartFormat>
    <chartFormat chart="30"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DD8DE3-8A38-42B3-A104-7018ADF4428A}" name="pvtMap"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73:D107"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x="3"/>
        <item h="1"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34">
    <i>
      <x/>
      <x/>
    </i>
    <i r="1">
      <x v="6"/>
    </i>
    <i r="1">
      <x v="8"/>
    </i>
    <i r="1">
      <x v="9"/>
    </i>
    <i r="1">
      <x v="10"/>
    </i>
    <i r="1">
      <x v="11"/>
    </i>
    <i r="1">
      <x v="14"/>
    </i>
    <i r="1">
      <x v="15"/>
    </i>
    <i r="1">
      <x v="18"/>
    </i>
    <i r="1">
      <x v="19"/>
    </i>
    <i r="1">
      <x v="20"/>
    </i>
    <i r="1">
      <x v="23"/>
    </i>
    <i r="1">
      <x v="24"/>
    </i>
    <i r="1">
      <x v="25"/>
    </i>
    <i r="1">
      <x v="26"/>
    </i>
    <i r="1">
      <x v="29"/>
    </i>
    <i r="1">
      <x v="30"/>
    </i>
    <i r="1">
      <x v="32"/>
    </i>
    <i r="1">
      <x v="33"/>
    </i>
    <i r="1">
      <x v="34"/>
    </i>
    <i r="1">
      <x v="35"/>
    </i>
    <i r="1">
      <x v="36"/>
    </i>
    <i r="1">
      <x v="37"/>
    </i>
    <i r="1">
      <x v="40"/>
    </i>
    <i r="1">
      <x v="41"/>
    </i>
    <i r="1">
      <x v="42"/>
    </i>
    <i r="1">
      <x v="43"/>
    </i>
    <i r="1">
      <x v="45"/>
    </i>
    <i r="1">
      <x v="48"/>
    </i>
    <i r="1">
      <x v="49"/>
    </i>
    <i r="1">
      <x v="50"/>
    </i>
    <i r="1">
      <x v="53"/>
    </i>
    <i r="1">
      <x v="55"/>
    </i>
    <i r="1">
      <x v="56"/>
    </i>
  </rowItems>
  <colFields count="1">
    <field x="-2"/>
  </colFields>
  <colItems count="2">
    <i>
      <x/>
    </i>
    <i i="1">
      <x v="1"/>
    </i>
  </colItems>
  <dataFields count="2">
    <dataField name="Sum of Quantity" fld="2" baseField="0" baseItem="0"/>
    <dataField name="Sum of Amount" fld="4" baseField="0" baseItem="0"/>
  </dataFields>
  <chartFormats count="2">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DCDC80-94F8-42FF-ADF6-F2254CB48BF5}" name="pvtProdu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6:F68"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h="1" x="0"/>
        <item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
    </i>
    <i>
      <x v="14"/>
    </i>
    <i>
      <x v="12"/>
    </i>
    <i>
      <x v="16"/>
    </i>
    <i>
      <x v="4"/>
    </i>
    <i>
      <x v="13"/>
    </i>
    <i>
      <x v="11"/>
    </i>
    <i>
      <x v="8"/>
    </i>
    <i>
      <x v="9"/>
    </i>
    <i>
      <x v="3"/>
    </i>
    <i>
      <x v="5"/>
    </i>
    <i>
      <x v="2"/>
    </i>
    <i>
      <x/>
    </i>
    <i>
      <x v="19"/>
    </i>
    <i>
      <x v="15"/>
    </i>
    <i>
      <x v="10"/>
    </i>
    <i>
      <x v="7"/>
    </i>
    <i>
      <x v="17"/>
    </i>
    <i t="grand">
      <x/>
    </i>
  </rowItems>
  <colFields count="1">
    <field x="7"/>
  </colFields>
  <colItems count="5">
    <i>
      <x/>
    </i>
    <i>
      <x v="1"/>
    </i>
    <i>
      <x v="2"/>
    </i>
    <i>
      <x v="3"/>
    </i>
    <i t="grand">
      <x/>
    </i>
  </colItems>
  <dataFields count="1">
    <dataField name="Sum of Quantity" fld="2" baseField="0" baseItem="0"/>
  </dataFields>
  <chartFormats count="8">
    <chartFormat chart="24" format="0" series="1">
      <pivotArea type="data" outline="0" fieldPosition="0">
        <references count="2">
          <reference field="4294967294" count="1" selected="0">
            <x v="0"/>
          </reference>
          <reference field="7" count="1" selected="0">
            <x v="0"/>
          </reference>
        </references>
      </pivotArea>
    </chartFormat>
    <chartFormat chart="24" format="1" series="1">
      <pivotArea type="data" outline="0" fieldPosition="0">
        <references count="2">
          <reference field="4294967294" count="1" selected="0">
            <x v="0"/>
          </reference>
          <reference field="7" count="1" selected="0">
            <x v="1"/>
          </reference>
        </references>
      </pivotArea>
    </chartFormat>
    <chartFormat chart="24" format="2" series="1">
      <pivotArea type="data" outline="0" fieldPosition="0">
        <references count="2">
          <reference field="4294967294" count="1" selected="0">
            <x v="0"/>
          </reference>
          <reference field="7" count="1" selected="0">
            <x v="2"/>
          </reference>
        </references>
      </pivotArea>
    </chartFormat>
    <chartFormat chart="24" format="3" series="1">
      <pivotArea type="data" outline="0" fieldPosition="0">
        <references count="2">
          <reference field="4294967294" count="1" selected="0">
            <x v="0"/>
          </reference>
          <reference field="7" count="1" selected="0">
            <x v="3"/>
          </reference>
        </references>
      </pivotArea>
    </chartFormat>
    <chartFormat chart="26" format="8" series="1">
      <pivotArea type="data" outline="0" fieldPosition="0">
        <references count="2">
          <reference field="4294967294" count="1" selected="0">
            <x v="0"/>
          </reference>
          <reference field="7" count="1" selected="0">
            <x v="0"/>
          </reference>
        </references>
      </pivotArea>
    </chartFormat>
    <chartFormat chart="26" format="9" series="1">
      <pivotArea type="data" outline="0" fieldPosition="0">
        <references count="2">
          <reference field="4294967294" count="1" selected="0">
            <x v="0"/>
          </reference>
          <reference field="7" count="1" selected="0">
            <x v="1"/>
          </reference>
        </references>
      </pivotArea>
    </chartFormat>
    <chartFormat chart="26" format="10" series="1">
      <pivotArea type="data" outline="0" fieldPosition="0">
        <references count="2">
          <reference field="4294967294" count="1" selected="0">
            <x v="0"/>
          </reference>
          <reference field="7" count="1" selected="0">
            <x v="2"/>
          </reference>
        </references>
      </pivotArea>
    </chartFormat>
    <chartFormat chart="2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792B83-BCBA-401E-B3C1-34B4B231A775}" name="pvtQ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8:B36"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sd="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A2488B-55A6-4B23-829B-94C5A36E9DEC}" name="pvtTrend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1">
    <format dxfId="5">
      <pivotArea collapsedLevelsAreSubtotals="1" fieldPosition="0">
        <references count="2">
          <reference field="4294967294" count="1" selected="0">
            <x v="1"/>
          </reference>
          <reference field="13" count="0"/>
        </references>
      </pivotArea>
    </format>
  </format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4201FC-3B9A-43AA-BDDD-D85E791E9EFB}" name="pvtSumma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8BD7DB-8116-4760-821D-94D57198EA92}" name="pvtMatrix"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0D9CC9-04AE-4AC3-A973-C6A79296E620}" name="pvt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3:G2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26">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17" count="1" selected="0">
            <x v="1"/>
          </reference>
        </references>
      </pivotArea>
    </chartFormat>
    <chartFormat chart="12" format="1" series="1">
      <pivotArea type="data" outline="0" fieldPosition="0">
        <references count="2">
          <reference field="4294967294" count="1" selected="0">
            <x v="0"/>
          </reference>
          <reference field="17" count="1" selected="0">
            <x v="2"/>
          </reference>
        </references>
      </pivotArea>
    </chartFormat>
    <chartFormat chart="12" format="2" series="1">
      <pivotArea type="data" outline="0" fieldPosition="0">
        <references count="2">
          <reference field="4294967294" count="1" selected="0">
            <x v="0"/>
          </reference>
          <reference field="17" count="1" selected="0">
            <x v="3"/>
          </reference>
        </references>
      </pivotArea>
    </chartFormat>
    <chartFormat chart="13" format="3" series="1">
      <pivotArea type="data" outline="0" fieldPosition="0">
        <references count="2">
          <reference field="4294967294" count="1" selected="0">
            <x v="0"/>
          </reference>
          <reference field="17" count="1" selected="0">
            <x v="1"/>
          </reference>
        </references>
      </pivotArea>
    </chartFormat>
    <chartFormat chart="13" format="4" series="1">
      <pivotArea type="data" outline="0" fieldPosition="0">
        <references count="2">
          <reference field="4294967294" count="1" selected="0">
            <x v="0"/>
          </reference>
          <reference field="17" count="1" selected="0">
            <x v="2"/>
          </reference>
        </references>
      </pivotArea>
    </chartFormat>
    <chartFormat chart="13" format="5" series="1">
      <pivotArea type="data" outline="0" fieldPosition="0">
        <references count="2">
          <reference field="4294967294" count="1" selected="0">
            <x v="0"/>
          </reference>
          <reference field="17" count="1" selected="0">
            <x v="3"/>
          </reference>
        </references>
      </pivotArea>
    </chartFormat>
    <chartFormat chart="14" format="6" series="1">
      <pivotArea type="data" outline="0" fieldPosition="0">
        <references count="2">
          <reference field="4294967294" count="1" selected="0">
            <x v="0"/>
          </reference>
          <reference field="17" count="1" selected="0">
            <x v="1"/>
          </reference>
        </references>
      </pivotArea>
    </chartFormat>
    <chartFormat chart="14" format="7" series="1">
      <pivotArea type="data" outline="0" fieldPosition="0">
        <references count="2">
          <reference field="4294967294" count="1" selected="0">
            <x v="0"/>
          </reference>
          <reference field="17" count="1" selected="0">
            <x v="2"/>
          </reference>
        </references>
      </pivotArea>
    </chartFormat>
    <chartFormat chart="14" format="8" series="1">
      <pivotArea type="data" outline="0" fieldPosition="0">
        <references count="2">
          <reference field="4294967294" count="1" selected="0">
            <x v="0"/>
          </reference>
          <reference field="17" count="1" selected="0">
            <x v="3"/>
          </reference>
        </references>
      </pivotArea>
    </chartFormat>
    <chartFormat chart="14" format="9" series="1">
      <pivotArea type="data" outline="0" fieldPosition="0">
        <references count="2">
          <reference field="4294967294" count="1" selected="0">
            <x v="0"/>
          </reference>
          <reference field="9" count="1" selected="0">
            <x v="3"/>
          </reference>
        </references>
      </pivotArea>
    </chartFormat>
    <chartFormat chart="14" format="10" series="1">
      <pivotArea type="data" outline="0" fieldPosition="0">
        <references count="2">
          <reference field="4294967294" count="1" selected="0">
            <x v="0"/>
          </reference>
          <reference field="9" count="1" selected="0">
            <x v="4"/>
          </reference>
        </references>
      </pivotArea>
    </chartFormat>
    <chartFormat chart="14" format="11" series="1">
      <pivotArea type="data" outline="0" fieldPosition="0">
        <references count="2">
          <reference field="4294967294" count="1" selected="0">
            <x v="0"/>
          </reference>
          <reference field="9" count="1" selected="0">
            <x v="0"/>
          </reference>
        </references>
      </pivotArea>
    </chartFormat>
    <chartFormat chart="14" format="12" series="1">
      <pivotArea type="data" outline="0" fieldPosition="0">
        <references count="2">
          <reference field="4294967294" count="1" selected="0">
            <x v="0"/>
          </reference>
          <reference field="9" count="1" selected="0">
            <x v="1"/>
          </reference>
        </references>
      </pivotArea>
    </chartFormat>
    <chartFormat chart="14" format="13" series="1">
      <pivotArea type="data" outline="0" fieldPosition="0">
        <references count="2">
          <reference field="4294967294" count="1" selected="0">
            <x v="0"/>
          </reference>
          <reference field="9" count="1" selected="0">
            <x v="2"/>
          </reference>
        </references>
      </pivotArea>
    </chartFormat>
    <chartFormat chart="13" format="6" series="1">
      <pivotArea type="data" outline="0" fieldPosition="0">
        <references count="2">
          <reference field="4294967294" count="1" selected="0">
            <x v="0"/>
          </reference>
          <reference field="9" count="1" selected="0">
            <x v="3"/>
          </reference>
        </references>
      </pivotArea>
    </chartFormat>
    <chartFormat chart="13" format="7" series="1">
      <pivotArea type="data" outline="0" fieldPosition="0">
        <references count="2">
          <reference field="4294967294" count="1" selected="0">
            <x v="0"/>
          </reference>
          <reference field="9" count="1" selected="0">
            <x v="4"/>
          </reference>
        </references>
      </pivotArea>
    </chartFormat>
    <chartFormat chart="13" format="8" series="1">
      <pivotArea type="data" outline="0" fieldPosition="0">
        <references count="2">
          <reference field="4294967294" count="1" selected="0">
            <x v="0"/>
          </reference>
          <reference field="9" count="1" selected="0">
            <x v="0"/>
          </reference>
        </references>
      </pivotArea>
    </chartFormat>
    <chartFormat chart="13" format="9" series="1">
      <pivotArea type="data" outline="0" fieldPosition="0">
        <references count="2">
          <reference field="4294967294" count="1" selected="0">
            <x v="0"/>
          </reference>
          <reference field="9" count="1" selected="0">
            <x v="1"/>
          </reference>
        </references>
      </pivotArea>
    </chartFormat>
    <chartFormat chart="13" format="10" series="1">
      <pivotArea type="data" outline="0" fieldPosition="0">
        <references count="2">
          <reference field="4294967294" count="1" selected="0">
            <x v="0"/>
          </reference>
          <reference field="9" count="1" selected="0">
            <x v="2"/>
          </reference>
        </references>
      </pivotArea>
    </chartFormat>
    <chartFormat chart="12" format="3" series="1">
      <pivotArea type="data" outline="0" fieldPosition="0">
        <references count="2">
          <reference field="4294967294" count="1" selected="0">
            <x v="0"/>
          </reference>
          <reference field="9" count="1" selected="0">
            <x v="3"/>
          </reference>
        </references>
      </pivotArea>
    </chartFormat>
    <chartFormat chart="12" format="4" series="1">
      <pivotArea type="data" outline="0" fieldPosition="0">
        <references count="2">
          <reference field="4294967294" count="1" selected="0">
            <x v="0"/>
          </reference>
          <reference field="9" count="1" selected="0">
            <x v="4"/>
          </reference>
        </references>
      </pivotArea>
    </chartFormat>
    <chartFormat chart="12" format="5" series="1">
      <pivotArea type="data" outline="0" fieldPosition="0">
        <references count="2">
          <reference field="4294967294" count="1" selected="0">
            <x v="0"/>
          </reference>
          <reference field="9" count="1" selected="0">
            <x v="0"/>
          </reference>
        </references>
      </pivotArea>
    </chartFormat>
    <chartFormat chart="12" format="6" series="1">
      <pivotArea type="data" outline="0" fieldPosition="0">
        <references count="2">
          <reference field="4294967294" count="1" selected="0">
            <x v="0"/>
          </reference>
          <reference field="9" count="1" selected="0">
            <x v="1"/>
          </reference>
        </references>
      </pivotArea>
    </chartFormat>
    <chartFormat chart="12" format="7"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89E37-CC77-4DBA-82E6-5B73FFF6A8AA}" name="pvtDur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5"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2">
    <i>
      <x/>
    </i>
    <i>
      <x v="1"/>
    </i>
    <i>
      <x v="2"/>
    </i>
    <i>
      <x v="3"/>
    </i>
    <i>
      <x v="4"/>
    </i>
    <i>
      <x v="5"/>
    </i>
    <i>
      <x v="6"/>
    </i>
    <i>
      <x v="7"/>
    </i>
    <i>
      <x v="8"/>
    </i>
    <i>
      <x v="9"/>
    </i>
    <i>
      <x v="13"/>
    </i>
    <i t="grand">
      <x/>
    </i>
  </rowItems>
  <colItems count="1">
    <i/>
  </colItems>
  <dataFields count="1">
    <dataField name="Count of TX ID" fld="0" subtotal="count"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5FCA226-F831-494E-BA95-10333E8CAC26}" sourceName="Order Mode">
  <pivotTables>
    <pivotTable tabId="5" name="pvtMap"/>
    <pivotTable tabId="5" name="pvtGender"/>
    <pivotTable tabId="5" name="pvtProduct"/>
    <pivotTable tabId="5" name="pvtQty"/>
    <pivotTable tabId="5" name="pvtTrends"/>
    <pivotTable tabId="17" name="pvtDuration"/>
    <pivotTable tabId="17" name="pvtRating"/>
  </pivotTables>
  <data>
    <tabular pivotCacheId="647881427">
      <items count="5">
        <i x="0"/>
        <i x="3" s="1"/>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29B7ACC-BF69-4EB2-8D17-D179568CC6A4}" sourceName="Gender Value">
  <pivotTables>
    <pivotTable tabId="5" name="pvtMap"/>
    <pivotTable tabId="5" name="pvtQty"/>
    <pivotTable tabId="5" name="pvtTrends"/>
    <pivotTable tabId="17" name="pvtDuration"/>
    <pivotTable tabId="17" name="pvtRating"/>
  </pivotTables>
  <data>
    <tabular pivotCacheId="64788142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6E35DB1A-3FBE-44FC-B4E9-8F8020ED31FC}" cache="Slicer_Order_Mode" caption="Order Mode" rowHeight="251883"/>
  <slicer name="Gender Value" xr10:uid="{BA4B30A1-B4BF-4F2A-9B16-5C09028B2D2C}" cache="Slicer_Gender_Value" caption="Gender Valu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5DB42AE1-6A48-4924-ADBA-21B0ADDA0177}" cache="Slicer_Order_Mode" caption="Order Mode" rowHeight="251883"/>
  <slicer name="Gender Value 1" xr10:uid="{C3FC55F7-2BD0-4B61-94D0-44604BEAE60A}" cache="Slicer_Gender_Value" caption="Gender Valu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FCED-A400-415C-BCDB-90CA42D61E1A}">
  <dimension ref="A2:Q131"/>
  <sheetViews>
    <sheetView topLeftCell="A65" zoomScale="70" zoomScaleNormal="70" workbookViewId="0">
      <selection activeCell="M35" sqref="M35"/>
    </sheetView>
  </sheetViews>
  <sheetFormatPr defaultRowHeight="14.5" x14ac:dyDescent="0.35"/>
  <cols>
    <col min="1" max="1" width="13.36328125" bestFit="1" customWidth="1"/>
    <col min="2" max="2" width="14.26953125" bestFit="1" customWidth="1"/>
    <col min="3" max="3" width="13.6328125" bestFit="1" customWidth="1"/>
    <col min="4" max="4" width="3.81640625" bestFit="1" customWidth="1"/>
    <col min="5" max="5" width="2.81640625" bestFit="1" customWidth="1"/>
    <col min="6" max="6" width="10.36328125" bestFit="1" customWidth="1"/>
    <col min="8" max="8" width="20" bestFit="1" customWidth="1"/>
    <col min="13" max="13" width="20" bestFit="1" customWidth="1"/>
    <col min="16" max="16" width="13.36328125" bestFit="1" customWidth="1"/>
    <col min="17" max="17" width="14.26953125" bestFit="1" customWidth="1"/>
    <col min="18" max="19" width="4.81640625" bestFit="1" customWidth="1"/>
    <col min="20" max="20" width="3.81640625" bestFit="1" customWidth="1"/>
    <col min="21" max="21" width="10.36328125" bestFit="1" customWidth="1"/>
  </cols>
  <sheetData>
    <row r="2" spans="1:11" x14ac:dyDescent="0.35">
      <c r="G2" t="s">
        <v>2553</v>
      </c>
    </row>
    <row r="3" spans="1:11" x14ac:dyDescent="0.35">
      <c r="A3" t="s">
        <v>2548</v>
      </c>
      <c r="B3" t="s">
        <v>2549</v>
      </c>
      <c r="C3" t="s">
        <v>2550</v>
      </c>
      <c r="D3" t="s">
        <v>2551</v>
      </c>
      <c r="E3" t="s">
        <v>2552</v>
      </c>
      <c r="G3" t="s">
        <v>2538</v>
      </c>
      <c r="H3" t="s">
        <v>2554</v>
      </c>
      <c r="I3" t="s">
        <v>4</v>
      </c>
      <c r="J3" t="s">
        <v>2507</v>
      </c>
      <c r="K3" t="s">
        <v>2555</v>
      </c>
    </row>
    <row r="4" spans="1:11" x14ac:dyDescent="0.35">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8" spans="1:11" x14ac:dyDescent="0.35">
      <c r="A8" s="12" t="s">
        <v>2560</v>
      </c>
      <c r="B8" t="s">
        <v>2549</v>
      </c>
      <c r="C8" t="s">
        <v>2550</v>
      </c>
    </row>
    <row r="9" spans="1:11" x14ac:dyDescent="0.35">
      <c r="A9" s="13">
        <v>1</v>
      </c>
      <c r="B9">
        <v>121</v>
      </c>
      <c r="C9" s="14">
        <v>9481.5</v>
      </c>
    </row>
    <row r="10" spans="1:11" x14ac:dyDescent="0.35">
      <c r="A10" s="13">
        <v>2</v>
      </c>
      <c r="B10">
        <v>34</v>
      </c>
      <c r="C10" s="14">
        <v>1594.1000000000001</v>
      </c>
    </row>
    <row r="11" spans="1:11" x14ac:dyDescent="0.35">
      <c r="A11" s="13">
        <v>3</v>
      </c>
      <c r="B11">
        <v>37</v>
      </c>
      <c r="C11" s="14">
        <v>1449.3999999999999</v>
      </c>
    </row>
    <row r="12" spans="1:11" x14ac:dyDescent="0.35">
      <c r="A12" s="13">
        <v>4</v>
      </c>
      <c r="B12">
        <v>189</v>
      </c>
      <c r="C12" s="14">
        <v>7697</v>
      </c>
    </row>
    <row r="13" spans="1:11" x14ac:dyDescent="0.35">
      <c r="A13" s="13">
        <v>5</v>
      </c>
      <c r="B13">
        <v>126</v>
      </c>
      <c r="C13" s="14">
        <v>5755.5999999999995</v>
      </c>
    </row>
    <row r="14" spans="1:11" x14ac:dyDescent="0.35">
      <c r="A14" s="13">
        <v>6</v>
      </c>
      <c r="B14">
        <v>175</v>
      </c>
      <c r="C14" s="14">
        <v>8601.6999999999989</v>
      </c>
    </row>
    <row r="15" spans="1:11" x14ac:dyDescent="0.35">
      <c r="A15" s="13">
        <v>7</v>
      </c>
      <c r="B15">
        <v>82</v>
      </c>
      <c r="C15" s="14">
        <v>3824.5999999999995</v>
      </c>
    </row>
    <row r="16" spans="1:11" x14ac:dyDescent="0.35">
      <c r="A16" s="13">
        <v>8</v>
      </c>
      <c r="B16">
        <v>72</v>
      </c>
      <c r="C16" s="14">
        <v>3408.3999999999996</v>
      </c>
    </row>
    <row r="17" spans="1:3" x14ac:dyDescent="0.35">
      <c r="A17" s="13">
        <v>9</v>
      </c>
      <c r="B17">
        <v>129</v>
      </c>
      <c r="C17" s="14">
        <v>4730.7999999999984</v>
      </c>
    </row>
    <row r="18" spans="1:3" x14ac:dyDescent="0.35">
      <c r="A18" s="13">
        <v>10</v>
      </c>
      <c r="B18">
        <v>198</v>
      </c>
      <c r="C18" s="14">
        <v>12141.000000000002</v>
      </c>
    </row>
    <row r="19" spans="1:3" x14ac:dyDescent="0.35">
      <c r="A19" s="13">
        <v>11</v>
      </c>
      <c r="B19">
        <v>63</v>
      </c>
      <c r="C19" s="14">
        <v>4260.8999999999996</v>
      </c>
    </row>
    <row r="20" spans="1:3" x14ac:dyDescent="0.35">
      <c r="A20" s="13">
        <v>12</v>
      </c>
      <c r="B20">
        <v>97</v>
      </c>
      <c r="C20" s="14">
        <v>6819.5999999999995</v>
      </c>
    </row>
    <row r="21" spans="1:3" x14ac:dyDescent="0.35">
      <c r="A21" s="13">
        <v>13</v>
      </c>
      <c r="B21">
        <v>92</v>
      </c>
      <c r="C21" s="14">
        <v>3361.6</v>
      </c>
    </row>
    <row r="22" spans="1:3" x14ac:dyDescent="0.35">
      <c r="A22" s="13" t="s">
        <v>2561</v>
      </c>
      <c r="B22">
        <v>1415</v>
      </c>
      <c r="C22">
        <v>73126.2</v>
      </c>
    </row>
    <row r="28" spans="1:3" x14ac:dyDescent="0.35">
      <c r="A28" s="12" t="s">
        <v>2560</v>
      </c>
      <c r="B28" t="s">
        <v>2548</v>
      </c>
    </row>
    <row r="29" spans="1:3" x14ac:dyDescent="0.35">
      <c r="A29" s="13">
        <v>1</v>
      </c>
      <c r="B29">
        <v>36</v>
      </c>
    </row>
    <row r="30" spans="1:3" x14ac:dyDescent="0.35">
      <c r="A30" s="13">
        <v>2</v>
      </c>
      <c r="B30">
        <v>60</v>
      </c>
    </row>
    <row r="31" spans="1:3" x14ac:dyDescent="0.35">
      <c r="A31" s="13">
        <v>3</v>
      </c>
      <c r="B31">
        <v>36</v>
      </c>
    </row>
    <row r="32" spans="1:3" x14ac:dyDescent="0.35">
      <c r="A32" s="13">
        <v>4</v>
      </c>
      <c r="B32">
        <v>23</v>
      </c>
    </row>
    <row r="33" spans="1:17" x14ac:dyDescent="0.35">
      <c r="A33" s="13">
        <v>5</v>
      </c>
      <c r="B33">
        <v>19</v>
      </c>
    </row>
    <row r="34" spans="1:17" x14ac:dyDescent="0.35">
      <c r="A34" s="13" t="s">
        <v>2564</v>
      </c>
      <c r="B34">
        <v>47</v>
      </c>
    </row>
    <row r="35" spans="1:17" x14ac:dyDescent="0.35">
      <c r="A35" s="13" t="s">
        <v>2565</v>
      </c>
      <c r="B35">
        <v>27</v>
      </c>
    </row>
    <row r="36" spans="1:17" x14ac:dyDescent="0.35">
      <c r="A36" s="13" t="s">
        <v>2561</v>
      </c>
      <c r="B36">
        <v>248</v>
      </c>
    </row>
    <row r="46" spans="1:17" x14ac:dyDescent="0.35">
      <c r="A46" s="12" t="s">
        <v>2549</v>
      </c>
      <c r="B46" s="12" t="s">
        <v>2562</v>
      </c>
      <c r="P46" s="12" t="s">
        <v>2560</v>
      </c>
      <c r="Q46" t="s">
        <v>2549</v>
      </c>
    </row>
    <row r="47" spans="1:17" x14ac:dyDescent="0.35">
      <c r="A47" s="12" t="s">
        <v>2560</v>
      </c>
      <c r="C47" t="s">
        <v>27</v>
      </c>
      <c r="D47" t="s">
        <v>23</v>
      </c>
      <c r="E47" t="s">
        <v>89</v>
      </c>
      <c r="F47" t="s">
        <v>2561</v>
      </c>
      <c r="P47" s="13" t="s">
        <v>2558</v>
      </c>
      <c r="Q47">
        <v>733</v>
      </c>
    </row>
    <row r="48" spans="1:17" x14ac:dyDescent="0.35">
      <c r="A48" s="13" t="s">
        <v>44</v>
      </c>
      <c r="B48">
        <v>35</v>
      </c>
      <c r="C48">
        <v>122</v>
      </c>
      <c r="D48">
        <v>82</v>
      </c>
      <c r="E48">
        <v>1</v>
      </c>
      <c r="F48">
        <v>240</v>
      </c>
      <c r="P48" s="13" t="s">
        <v>2557</v>
      </c>
      <c r="Q48">
        <v>479</v>
      </c>
    </row>
    <row r="49" spans="1:17" x14ac:dyDescent="0.35">
      <c r="A49" s="13" t="s">
        <v>39</v>
      </c>
      <c r="B49">
        <v>105</v>
      </c>
      <c r="C49">
        <v>49</v>
      </c>
      <c r="D49">
        <v>79</v>
      </c>
      <c r="F49">
        <v>233</v>
      </c>
      <c r="P49" s="13" t="s">
        <v>2559</v>
      </c>
      <c r="Q49">
        <v>17</v>
      </c>
    </row>
    <row r="50" spans="1:17" x14ac:dyDescent="0.35">
      <c r="A50" s="13" t="s">
        <v>54</v>
      </c>
      <c r="C50">
        <v>92</v>
      </c>
      <c r="D50">
        <v>38</v>
      </c>
      <c r="F50">
        <v>130</v>
      </c>
      <c r="P50" s="13" t="s">
        <v>2556</v>
      </c>
      <c r="Q50">
        <v>186</v>
      </c>
    </row>
    <row r="51" spans="1:17" x14ac:dyDescent="0.35">
      <c r="A51" s="13" t="s">
        <v>46</v>
      </c>
      <c r="B51">
        <v>10</v>
      </c>
      <c r="C51">
        <v>82</v>
      </c>
      <c r="D51">
        <v>7</v>
      </c>
      <c r="F51">
        <v>99</v>
      </c>
      <c r="P51" s="13" t="s">
        <v>2561</v>
      </c>
      <c r="Q51">
        <v>1415</v>
      </c>
    </row>
    <row r="52" spans="1:17" x14ac:dyDescent="0.35">
      <c r="A52" s="13" t="s">
        <v>16</v>
      </c>
      <c r="B52">
        <v>2</v>
      </c>
      <c r="C52">
        <v>73</v>
      </c>
      <c r="D52">
        <v>22</v>
      </c>
      <c r="F52">
        <v>97</v>
      </c>
    </row>
    <row r="53" spans="1:17" x14ac:dyDescent="0.35">
      <c r="A53" s="13" t="s">
        <v>22</v>
      </c>
      <c r="C53">
        <v>53</v>
      </c>
      <c r="D53">
        <v>32</v>
      </c>
      <c r="E53">
        <v>6</v>
      </c>
      <c r="F53">
        <v>91</v>
      </c>
    </row>
    <row r="54" spans="1:17" x14ac:dyDescent="0.35">
      <c r="A54" s="13" t="s">
        <v>32</v>
      </c>
      <c r="B54">
        <v>6</v>
      </c>
      <c r="C54">
        <v>65</v>
      </c>
      <c r="D54">
        <v>17</v>
      </c>
      <c r="F54">
        <v>88</v>
      </c>
    </row>
    <row r="55" spans="1:17" x14ac:dyDescent="0.35">
      <c r="A55" s="13" t="s">
        <v>26</v>
      </c>
      <c r="B55">
        <v>2</v>
      </c>
      <c r="C55">
        <v>28</v>
      </c>
      <c r="D55">
        <v>55</v>
      </c>
      <c r="F55">
        <v>85</v>
      </c>
    </row>
    <row r="56" spans="1:17" x14ac:dyDescent="0.35">
      <c r="A56" s="13" t="s">
        <v>37</v>
      </c>
      <c r="B56">
        <v>10</v>
      </c>
      <c r="C56">
        <v>38</v>
      </c>
      <c r="D56">
        <v>33</v>
      </c>
      <c r="F56">
        <v>81</v>
      </c>
    </row>
    <row r="57" spans="1:17" x14ac:dyDescent="0.35">
      <c r="A57" s="13" t="s">
        <v>146</v>
      </c>
      <c r="B57">
        <v>3</v>
      </c>
      <c r="C57">
        <v>9</v>
      </c>
      <c r="D57">
        <v>33</v>
      </c>
      <c r="E57">
        <v>7</v>
      </c>
      <c r="F57">
        <v>52</v>
      </c>
    </row>
    <row r="58" spans="1:17" x14ac:dyDescent="0.35">
      <c r="A58" s="13" t="s">
        <v>67</v>
      </c>
      <c r="C58">
        <v>32</v>
      </c>
      <c r="D58">
        <v>10</v>
      </c>
      <c r="F58">
        <v>42</v>
      </c>
    </row>
    <row r="59" spans="1:17" x14ac:dyDescent="0.35">
      <c r="A59" s="13" t="s">
        <v>123</v>
      </c>
      <c r="B59">
        <v>4</v>
      </c>
      <c r="C59">
        <v>24</v>
      </c>
      <c r="D59">
        <v>9</v>
      </c>
      <c r="F59">
        <v>37</v>
      </c>
    </row>
    <row r="60" spans="1:17" x14ac:dyDescent="0.35">
      <c r="A60" s="13" t="s">
        <v>42</v>
      </c>
      <c r="C60">
        <v>12</v>
      </c>
      <c r="D60">
        <v>19</v>
      </c>
      <c r="F60">
        <v>31</v>
      </c>
    </row>
    <row r="61" spans="1:17" x14ac:dyDescent="0.35">
      <c r="A61" s="13" t="s">
        <v>69</v>
      </c>
      <c r="C61">
        <v>22</v>
      </c>
      <c r="D61">
        <v>7</v>
      </c>
      <c r="F61">
        <v>29</v>
      </c>
    </row>
    <row r="62" spans="1:17" x14ac:dyDescent="0.35">
      <c r="A62" s="13" t="s">
        <v>81</v>
      </c>
      <c r="C62">
        <v>5</v>
      </c>
      <c r="D62">
        <v>20</v>
      </c>
      <c r="F62">
        <v>25</v>
      </c>
    </row>
    <row r="63" spans="1:17" x14ac:dyDescent="0.35">
      <c r="A63" s="13" t="s">
        <v>30</v>
      </c>
      <c r="C63">
        <v>11</v>
      </c>
      <c r="D63">
        <v>10</v>
      </c>
      <c r="F63">
        <v>21</v>
      </c>
    </row>
    <row r="64" spans="1:17" x14ac:dyDescent="0.35">
      <c r="A64" s="13" t="s">
        <v>128</v>
      </c>
      <c r="B64">
        <v>9</v>
      </c>
      <c r="C64">
        <v>9</v>
      </c>
      <c r="E64">
        <v>3</v>
      </c>
      <c r="F64">
        <v>21</v>
      </c>
    </row>
    <row r="65" spans="1:14" x14ac:dyDescent="0.35">
      <c r="A65" s="13" t="s">
        <v>135</v>
      </c>
      <c r="C65">
        <v>7</v>
      </c>
      <c r="D65">
        <v>3</v>
      </c>
      <c r="F65">
        <v>10</v>
      </c>
    </row>
    <row r="66" spans="1:14" x14ac:dyDescent="0.35">
      <c r="A66" s="13" t="s">
        <v>171</v>
      </c>
      <c r="D66">
        <v>2</v>
      </c>
      <c r="F66">
        <v>2</v>
      </c>
    </row>
    <row r="67" spans="1:14" x14ac:dyDescent="0.35">
      <c r="A67" s="13" t="s">
        <v>76</v>
      </c>
      <c r="D67">
        <v>1</v>
      </c>
      <c r="F67">
        <v>1</v>
      </c>
    </row>
    <row r="68" spans="1:14" x14ac:dyDescent="0.35">
      <c r="A68" s="13" t="s">
        <v>2561</v>
      </c>
      <c r="B68">
        <v>186</v>
      </c>
      <c r="C68">
        <v>733</v>
      </c>
      <c r="D68">
        <v>479</v>
      </c>
      <c r="E68">
        <v>17</v>
      </c>
      <c r="F68">
        <v>1415</v>
      </c>
    </row>
    <row r="72" spans="1:14" x14ac:dyDescent="0.35">
      <c r="G72" s="21" t="s">
        <v>2566</v>
      </c>
      <c r="H72" s="20"/>
      <c r="L72" s="21" t="s">
        <v>2567</v>
      </c>
      <c r="M72" s="21"/>
    </row>
    <row r="73" spans="1:14" x14ac:dyDescent="0.35">
      <c r="A73" s="12" t="s">
        <v>10</v>
      </c>
      <c r="B73" s="12" t="s">
        <v>11</v>
      </c>
      <c r="C73" t="s">
        <v>2549</v>
      </c>
      <c r="D73" t="s">
        <v>2550</v>
      </c>
      <c r="G73" t="s">
        <v>10</v>
      </c>
      <c r="H73" t="s">
        <v>11</v>
      </c>
      <c r="I73" t="s">
        <v>2554</v>
      </c>
      <c r="L73" t="s">
        <v>10</v>
      </c>
      <c r="M73" t="s">
        <v>11</v>
      </c>
      <c r="N73" t="s">
        <v>4</v>
      </c>
    </row>
    <row r="74" spans="1:14" x14ac:dyDescent="0.35">
      <c r="A74" t="s">
        <v>19</v>
      </c>
      <c r="B74" t="s">
        <v>115</v>
      </c>
      <c r="C74">
        <v>91</v>
      </c>
      <c r="D74">
        <v>4468.4000000000005</v>
      </c>
      <c r="G74" s="18" t="s">
        <v>19</v>
      </c>
      <c r="H74" t="s">
        <v>115</v>
      </c>
      <c r="I74">
        <v>579</v>
      </c>
      <c r="L74" s="18" t="s">
        <v>19</v>
      </c>
      <c r="M74" t="s">
        <v>115</v>
      </c>
      <c r="N74">
        <v>31884.999999999996</v>
      </c>
    </row>
    <row r="75" spans="1:14" x14ac:dyDescent="0.35">
      <c r="A75" t="s">
        <v>19</v>
      </c>
      <c r="B75" t="s">
        <v>24</v>
      </c>
      <c r="C75">
        <v>31</v>
      </c>
      <c r="D75">
        <v>1141.1999999999998</v>
      </c>
      <c r="G75" s="18" t="s">
        <v>19</v>
      </c>
      <c r="H75" t="s">
        <v>20</v>
      </c>
      <c r="I75">
        <v>1</v>
      </c>
      <c r="L75" s="18" t="s">
        <v>19</v>
      </c>
      <c r="M75" t="s">
        <v>20</v>
      </c>
      <c r="N75">
        <v>10.9</v>
      </c>
    </row>
    <row r="76" spans="1:14" x14ac:dyDescent="0.35">
      <c r="A76" t="s">
        <v>19</v>
      </c>
      <c r="B76" t="s">
        <v>437</v>
      </c>
      <c r="C76">
        <v>1</v>
      </c>
      <c r="D76">
        <v>20.6</v>
      </c>
      <c r="G76" s="18" t="s">
        <v>19</v>
      </c>
      <c r="H76" t="s">
        <v>641</v>
      </c>
      <c r="I76">
        <v>9</v>
      </c>
      <c r="L76" s="18" t="s">
        <v>19</v>
      </c>
      <c r="M76" t="s">
        <v>641</v>
      </c>
      <c r="N76">
        <v>800.3</v>
      </c>
    </row>
    <row r="77" spans="1:14" x14ac:dyDescent="0.35">
      <c r="A77" t="s">
        <v>19</v>
      </c>
      <c r="B77" t="s">
        <v>28</v>
      </c>
      <c r="C77">
        <v>50</v>
      </c>
      <c r="D77">
        <v>1801.3999999999999</v>
      </c>
      <c r="G77" s="18" t="s">
        <v>19</v>
      </c>
      <c r="H77" t="s">
        <v>967</v>
      </c>
      <c r="I77">
        <v>35</v>
      </c>
      <c r="L77" s="18" t="s">
        <v>19</v>
      </c>
      <c r="M77" t="s">
        <v>967</v>
      </c>
      <c r="N77">
        <v>1062.5999999999999</v>
      </c>
    </row>
    <row r="78" spans="1:14" x14ac:dyDescent="0.35">
      <c r="A78" t="s">
        <v>19</v>
      </c>
      <c r="B78" t="s">
        <v>208</v>
      </c>
      <c r="C78">
        <v>4</v>
      </c>
      <c r="D78">
        <v>178.2</v>
      </c>
      <c r="G78" s="18" t="s">
        <v>19</v>
      </c>
      <c r="H78" t="s">
        <v>84</v>
      </c>
      <c r="I78">
        <v>12</v>
      </c>
      <c r="L78" s="18" t="s">
        <v>19</v>
      </c>
      <c r="M78" t="s">
        <v>84</v>
      </c>
      <c r="N78">
        <v>326.20000000000005</v>
      </c>
    </row>
    <row r="79" spans="1:14" x14ac:dyDescent="0.35">
      <c r="A79" t="s">
        <v>19</v>
      </c>
      <c r="B79" t="s">
        <v>587</v>
      </c>
      <c r="C79">
        <v>8</v>
      </c>
      <c r="D79">
        <v>509.79999999999995</v>
      </c>
      <c r="G79" s="18" t="s">
        <v>19</v>
      </c>
      <c r="H79" t="s">
        <v>1383</v>
      </c>
      <c r="I79">
        <v>4</v>
      </c>
      <c r="L79" s="18" t="s">
        <v>19</v>
      </c>
      <c r="M79" t="s">
        <v>1383</v>
      </c>
      <c r="N79">
        <v>167.5</v>
      </c>
    </row>
    <row r="80" spans="1:14" x14ac:dyDescent="0.35">
      <c r="A80" t="s">
        <v>19</v>
      </c>
      <c r="B80" t="s">
        <v>147</v>
      </c>
      <c r="C80">
        <v>17</v>
      </c>
      <c r="D80">
        <v>576.30000000000007</v>
      </c>
      <c r="G80" s="18" t="s">
        <v>19</v>
      </c>
      <c r="H80" t="s">
        <v>24</v>
      </c>
      <c r="I80">
        <v>341</v>
      </c>
      <c r="L80" s="18" t="s">
        <v>19</v>
      </c>
      <c r="M80" t="s">
        <v>24</v>
      </c>
      <c r="N80">
        <v>16168.7</v>
      </c>
    </row>
    <row r="81" spans="1:14" x14ac:dyDescent="0.35">
      <c r="A81" t="s">
        <v>19</v>
      </c>
      <c r="B81" t="s">
        <v>334</v>
      </c>
      <c r="C81">
        <v>5</v>
      </c>
      <c r="D81">
        <v>390.59999999999997</v>
      </c>
      <c r="G81" s="18" t="s">
        <v>19</v>
      </c>
      <c r="H81" t="s">
        <v>2204</v>
      </c>
      <c r="I81">
        <v>13</v>
      </c>
      <c r="L81" s="18" t="s">
        <v>19</v>
      </c>
      <c r="M81" t="s">
        <v>2204</v>
      </c>
      <c r="N81">
        <v>322.40000000000003</v>
      </c>
    </row>
    <row r="82" spans="1:14" x14ac:dyDescent="0.35">
      <c r="A82" t="s">
        <v>19</v>
      </c>
      <c r="B82" t="s">
        <v>33</v>
      </c>
      <c r="C82">
        <v>553</v>
      </c>
      <c r="D82">
        <v>31020.30000000001</v>
      </c>
      <c r="G82" s="18" t="s">
        <v>19</v>
      </c>
      <c r="H82" t="s">
        <v>437</v>
      </c>
      <c r="I82">
        <v>31</v>
      </c>
      <c r="L82" s="18" t="s">
        <v>19</v>
      </c>
      <c r="M82" t="s">
        <v>437</v>
      </c>
      <c r="N82">
        <v>2092.8000000000002</v>
      </c>
    </row>
    <row r="83" spans="1:14" x14ac:dyDescent="0.35">
      <c r="A83" t="s">
        <v>19</v>
      </c>
      <c r="B83" t="s">
        <v>364</v>
      </c>
      <c r="C83">
        <v>2</v>
      </c>
      <c r="D83">
        <v>149.6</v>
      </c>
      <c r="G83" s="18" t="s">
        <v>19</v>
      </c>
      <c r="H83" t="s">
        <v>28</v>
      </c>
      <c r="I83">
        <v>279</v>
      </c>
      <c r="L83" s="18" t="s">
        <v>19</v>
      </c>
      <c r="M83" t="s">
        <v>28</v>
      </c>
      <c r="N83">
        <v>12662.500000000002</v>
      </c>
    </row>
    <row r="84" spans="1:14" x14ac:dyDescent="0.35">
      <c r="A84" t="s">
        <v>19</v>
      </c>
      <c r="B84" t="s">
        <v>545</v>
      </c>
      <c r="C84">
        <v>2</v>
      </c>
      <c r="D84">
        <v>39.200000000000003</v>
      </c>
      <c r="G84" s="18" t="s">
        <v>19</v>
      </c>
      <c r="H84" t="s">
        <v>208</v>
      </c>
      <c r="I84">
        <v>9</v>
      </c>
      <c r="L84" s="18" t="s">
        <v>19</v>
      </c>
      <c r="M84" t="s">
        <v>208</v>
      </c>
      <c r="N84">
        <v>343.2</v>
      </c>
    </row>
    <row r="85" spans="1:14" x14ac:dyDescent="0.35">
      <c r="A85" t="s">
        <v>19</v>
      </c>
      <c r="B85" t="s">
        <v>186</v>
      </c>
      <c r="C85">
        <v>18</v>
      </c>
      <c r="D85">
        <v>1075.1999999999998</v>
      </c>
      <c r="G85" s="18" t="s">
        <v>19</v>
      </c>
      <c r="H85" t="s">
        <v>587</v>
      </c>
      <c r="I85">
        <v>49</v>
      </c>
      <c r="L85" s="18" t="s">
        <v>19</v>
      </c>
      <c r="M85" t="s">
        <v>587</v>
      </c>
      <c r="N85">
        <v>2188.2999999999997</v>
      </c>
    </row>
    <row r="86" spans="1:14" x14ac:dyDescent="0.35">
      <c r="A86" t="s">
        <v>19</v>
      </c>
      <c r="B86" t="s">
        <v>392</v>
      </c>
      <c r="C86">
        <v>2</v>
      </c>
      <c r="D86">
        <v>28.4</v>
      </c>
      <c r="G86" s="18" t="s">
        <v>19</v>
      </c>
      <c r="H86" t="s">
        <v>331</v>
      </c>
      <c r="I86">
        <v>59</v>
      </c>
      <c r="L86" s="18" t="s">
        <v>19</v>
      </c>
      <c r="M86" t="s">
        <v>331</v>
      </c>
      <c r="N86">
        <v>2661.5999999999995</v>
      </c>
    </row>
    <row r="87" spans="1:14" x14ac:dyDescent="0.35">
      <c r="A87" t="s">
        <v>19</v>
      </c>
      <c r="B87" t="s">
        <v>670</v>
      </c>
      <c r="C87">
        <v>4</v>
      </c>
      <c r="D87">
        <v>204.8</v>
      </c>
      <c r="G87" s="18" t="s">
        <v>19</v>
      </c>
      <c r="H87" t="s">
        <v>86</v>
      </c>
      <c r="I87">
        <v>8</v>
      </c>
      <c r="L87" s="18" t="s">
        <v>19</v>
      </c>
      <c r="M87" t="s">
        <v>86</v>
      </c>
      <c r="N87">
        <v>887.5</v>
      </c>
    </row>
    <row r="88" spans="1:14" x14ac:dyDescent="0.35">
      <c r="A88" t="s">
        <v>19</v>
      </c>
      <c r="B88" t="s">
        <v>802</v>
      </c>
      <c r="C88">
        <v>27</v>
      </c>
      <c r="D88">
        <v>1479</v>
      </c>
      <c r="G88" s="18" t="s">
        <v>19</v>
      </c>
      <c r="H88" t="s">
        <v>147</v>
      </c>
      <c r="I88">
        <v>222</v>
      </c>
      <c r="L88" s="18" t="s">
        <v>19</v>
      </c>
      <c r="M88" t="s">
        <v>147</v>
      </c>
      <c r="N88">
        <v>11354.199999999993</v>
      </c>
    </row>
    <row r="89" spans="1:14" x14ac:dyDescent="0.35">
      <c r="A89" t="s">
        <v>19</v>
      </c>
      <c r="B89" t="s">
        <v>188</v>
      </c>
      <c r="C89">
        <v>17</v>
      </c>
      <c r="D89">
        <v>901.7</v>
      </c>
      <c r="G89" s="18" t="s">
        <v>19</v>
      </c>
      <c r="H89" t="s">
        <v>334</v>
      </c>
      <c r="I89">
        <v>36</v>
      </c>
      <c r="L89" s="18" t="s">
        <v>19</v>
      </c>
      <c r="M89" t="s">
        <v>334</v>
      </c>
      <c r="N89">
        <v>1558.4</v>
      </c>
    </row>
    <row r="90" spans="1:14" x14ac:dyDescent="0.35">
      <c r="A90" t="s">
        <v>19</v>
      </c>
      <c r="B90" t="s">
        <v>52</v>
      </c>
      <c r="C90">
        <v>39</v>
      </c>
      <c r="D90">
        <v>2908.4</v>
      </c>
      <c r="G90" s="18" t="s">
        <v>19</v>
      </c>
      <c r="H90" t="s">
        <v>949</v>
      </c>
      <c r="I90">
        <v>30</v>
      </c>
      <c r="L90" s="18" t="s">
        <v>19</v>
      </c>
      <c r="M90" t="s">
        <v>949</v>
      </c>
      <c r="N90">
        <v>2223.9</v>
      </c>
    </row>
    <row r="91" spans="1:14" x14ac:dyDescent="0.35">
      <c r="A91" t="s">
        <v>19</v>
      </c>
      <c r="B91" t="s">
        <v>158</v>
      </c>
      <c r="C91">
        <v>2</v>
      </c>
      <c r="D91">
        <v>22.6</v>
      </c>
      <c r="G91" s="18" t="s">
        <v>19</v>
      </c>
      <c r="H91" t="s">
        <v>1426</v>
      </c>
      <c r="I91">
        <v>1</v>
      </c>
      <c r="L91" s="18" t="s">
        <v>19</v>
      </c>
      <c r="M91" t="s">
        <v>1426</v>
      </c>
      <c r="N91">
        <v>26.2</v>
      </c>
    </row>
    <row r="92" spans="1:14" x14ac:dyDescent="0.35">
      <c r="A92" t="s">
        <v>19</v>
      </c>
      <c r="B92" t="s">
        <v>55</v>
      </c>
      <c r="C92">
        <v>34</v>
      </c>
      <c r="D92">
        <v>1756.7000000000003</v>
      </c>
      <c r="G92" s="18" t="s">
        <v>19</v>
      </c>
      <c r="H92" t="s">
        <v>33</v>
      </c>
      <c r="I92">
        <v>3991</v>
      </c>
      <c r="L92" s="18" t="s">
        <v>19</v>
      </c>
      <c r="M92" t="s">
        <v>33</v>
      </c>
      <c r="N92">
        <v>215551.19999999981</v>
      </c>
    </row>
    <row r="93" spans="1:14" x14ac:dyDescent="0.35">
      <c r="A93" t="s">
        <v>19</v>
      </c>
      <c r="B93" t="s">
        <v>342</v>
      </c>
      <c r="C93">
        <v>5</v>
      </c>
      <c r="D93">
        <v>268.79999999999995</v>
      </c>
      <c r="G93" s="18" t="s">
        <v>19</v>
      </c>
      <c r="H93" t="s">
        <v>364</v>
      </c>
      <c r="I93">
        <v>45</v>
      </c>
      <c r="L93" s="18" t="s">
        <v>19</v>
      </c>
      <c r="M93" t="s">
        <v>364</v>
      </c>
      <c r="N93">
        <v>2687.3999999999996</v>
      </c>
    </row>
    <row r="94" spans="1:14" x14ac:dyDescent="0.35">
      <c r="A94" t="s">
        <v>19</v>
      </c>
      <c r="B94" t="s">
        <v>59</v>
      </c>
      <c r="C94">
        <v>16</v>
      </c>
      <c r="D94">
        <v>838.8</v>
      </c>
      <c r="G94" s="18" t="s">
        <v>19</v>
      </c>
      <c r="H94" t="s">
        <v>545</v>
      </c>
      <c r="I94">
        <v>39</v>
      </c>
      <c r="L94" s="18" t="s">
        <v>19</v>
      </c>
      <c r="M94" t="s">
        <v>545</v>
      </c>
      <c r="N94">
        <v>1463.3000000000002</v>
      </c>
    </row>
    <row r="95" spans="1:14" x14ac:dyDescent="0.35">
      <c r="A95" t="s">
        <v>19</v>
      </c>
      <c r="B95" t="s">
        <v>62</v>
      </c>
      <c r="C95">
        <v>197</v>
      </c>
      <c r="D95">
        <v>10661.900000000003</v>
      </c>
      <c r="G95" s="18" t="s">
        <v>19</v>
      </c>
      <c r="H95" t="s">
        <v>416</v>
      </c>
      <c r="I95">
        <v>6</v>
      </c>
      <c r="L95" s="18" t="s">
        <v>19</v>
      </c>
      <c r="M95" t="s">
        <v>416</v>
      </c>
      <c r="N95">
        <v>445.79999999999995</v>
      </c>
    </row>
    <row r="96" spans="1:14" x14ac:dyDescent="0.35">
      <c r="A96" t="s">
        <v>19</v>
      </c>
      <c r="B96" t="s">
        <v>103</v>
      </c>
      <c r="C96">
        <v>38</v>
      </c>
      <c r="D96">
        <v>1934.6000000000001</v>
      </c>
      <c r="G96" s="18" t="s">
        <v>19</v>
      </c>
      <c r="H96" t="s">
        <v>258</v>
      </c>
      <c r="I96">
        <v>9</v>
      </c>
      <c r="L96" s="18" t="s">
        <v>19</v>
      </c>
      <c r="M96" t="s">
        <v>258</v>
      </c>
      <c r="N96">
        <v>273.59999999999997</v>
      </c>
    </row>
    <row r="97" spans="1:14" x14ac:dyDescent="0.35">
      <c r="A97" t="s">
        <v>19</v>
      </c>
      <c r="B97" t="s">
        <v>72</v>
      </c>
      <c r="C97">
        <v>19</v>
      </c>
      <c r="D97">
        <v>1146.3000000000002</v>
      </c>
      <c r="G97" s="18" t="s">
        <v>19</v>
      </c>
      <c r="H97" t="s">
        <v>186</v>
      </c>
      <c r="I97">
        <v>60</v>
      </c>
      <c r="L97" s="18" t="s">
        <v>19</v>
      </c>
      <c r="M97" t="s">
        <v>186</v>
      </c>
      <c r="N97">
        <v>2690.4</v>
      </c>
    </row>
    <row r="98" spans="1:14" x14ac:dyDescent="0.35">
      <c r="A98" t="s">
        <v>19</v>
      </c>
      <c r="B98" t="s">
        <v>74</v>
      </c>
      <c r="C98">
        <v>4</v>
      </c>
      <c r="D98">
        <v>186.2</v>
      </c>
      <c r="G98" s="18" t="s">
        <v>19</v>
      </c>
      <c r="H98" t="s">
        <v>392</v>
      </c>
      <c r="I98">
        <v>2</v>
      </c>
      <c r="L98" s="18" t="s">
        <v>19</v>
      </c>
      <c r="M98" t="s">
        <v>392</v>
      </c>
      <c r="N98">
        <v>28.4</v>
      </c>
    </row>
    <row r="99" spans="1:14" x14ac:dyDescent="0.35">
      <c r="A99" t="s">
        <v>19</v>
      </c>
      <c r="B99" t="s">
        <v>77</v>
      </c>
      <c r="C99">
        <v>97</v>
      </c>
      <c r="D99">
        <v>4578.2</v>
      </c>
      <c r="G99" s="18" t="s">
        <v>19</v>
      </c>
      <c r="H99" t="s">
        <v>670</v>
      </c>
      <c r="I99">
        <v>4</v>
      </c>
      <c r="L99" s="18" t="s">
        <v>19</v>
      </c>
      <c r="M99" t="s">
        <v>670</v>
      </c>
      <c r="N99">
        <v>204.8</v>
      </c>
    </row>
    <row r="100" spans="1:14" x14ac:dyDescent="0.35">
      <c r="A100" t="s">
        <v>19</v>
      </c>
      <c r="B100" t="s">
        <v>309</v>
      </c>
      <c r="C100">
        <v>2</v>
      </c>
      <c r="D100">
        <v>32.200000000000003</v>
      </c>
      <c r="G100" s="18" t="s">
        <v>19</v>
      </c>
      <c r="H100" t="s">
        <v>802</v>
      </c>
      <c r="I100">
        <v>31</v>
      </c>
      <c r="L100" s="18" t="s">
        <v>19</v>
      </c>
      <c r="M100" t="s">
        <v>802</v>
      </c>
      <c r="N100">
        <v>1607.8999999999999</v>
      </c>
    </row>
    <row r="101" spans="1:14" x14ac:dyDescent="0.35">
      <c r="A101" t="s">
        <v>19</v>
      </c>
      <c r="B101" t="s">
        <v>700</v>
      </c>
      <c r="C101">
        <v>2</v>
      </c>
      <c r="D101">
        <v>30.8</v>
      </c>
      <c r="G101" s="18" t="s">
        <v>19</v>
      </c>
      <c r="H101" t="s">
        <v>98</v>
      </c>
      <c r="I101">
        <v>88</v>
      </c>
      <c r="L101" s="18" t="s">
        <v>19</v>
      </c>
      <c r="M101" t="s">
        <v>98</v>
      </c>
      <c r="N101">
        <v>6444.9</v>
      </c>
    </row>
    <row r="102" spans="1:14" x14ac:dyDescent="0.35">
      <c r="A102" t="s">
        <v>19</v>
      </c>
      <c r="B102" t="s">
        <v>108</v>
      </c>
      <c r="C102">
        <v>40</v>
      </c>
      <c r="D102">
        <v>1209.7</v>
      </c>
      <c r="G102" s="18" t="s">
        <v>19</v>
      </c>
      <c r="H102" t="s">
        <v>49</v>
      </c>
      <c r="I102">
        <v>25</v>
      </c>
      <c r="L102" s="18" t="s">
        <v>19</v>
      </c>
      <c r="M102" t="s">
        <v>49</v>
      </c>
      <c r="N102">
        <v>1809.3</v>
      </c>
    </row>
    <row r="103" spans="1:14" x14ac:dyDescent="0.35">
      <c r="A103" t="s">
        <v>19</v>
      </c>
      <c r="B103" t="s">
        <v>110</v>
      </c>
      <c r="C103">
        <v>36</v>
      </c>
      <c r="D103">
        <v>1583.5</v>
      </c>
      <c r="G103" s="18" t="s">
        <v>19</v>
      </c>
      <c r="H103" t="s">
        <v>188</v>
      </c>
      <c r="I103">
        <v>178</v>
      </c>
      <c r="L103" s="18" t="s">
        <v>19</v>
      </c>
      <c r="M103" t="s">
        <v>188</v>
      </c>
      <c r="N103">
        <v>9680.399999999996</v>
      </c>
    </row>
    <row r="104" spans="1:14" x14ac:dyDescent="0.35">
      <c r="A104" t="s">
        <v>19</v>
      </c>
      <c r="B104" t="s">
        <v>292</v>
      </c>
      <c r="C104">
        <v>10</v>
      </c>
      <c r="D104">
        <v>565.90000000000009</v>
      </c>
      <c r="G104" s="18" t="s">
        <v>19</v>
      </c>
      <c r="H104" t="s">
        <v>52</v>
      </c>
      <c r="I104">
        <v>141</v>
      </c>
      <c r="L104" s="18" t="s">
        <v>19</v>
      </c>
      <c r="M104" t="s">
        <v>52</v>
      </c>
      <c r="N104">
        <v>9414.7999999999993</v>
      </c>
    </row>
    <row r="105" spans="1:14" x14ac:dyDescent="0.35">
      <c r="A105" t="s">
        <v>19</v>
      </c>
      <c r="B105" t="s">
        <v>113</v>
      </c>
      <c r="C105">
        <v>10</v>
      </c>
      <c r="D105">
        <v>450.79999999999995</v>
      </c>
      <c r="G105" s="18" t="s">
        <v>19</v>
      </c>
      <c r="H105" t="s">
        <v>338</v>
      </c>
      <c r="I105">
        <v>6</v>
      </c>
      <c r="L105" s="18" t="s">
        <v>19</v>
      </c>
      <c r="M105" t="s">
        <v>338</v>
      </c>
      <c r="N105">
        <v>206.1</v>
      </c>
    </row>
    <row r="106" spans="1:14" x14ac:dyDescent="0.35">
      <c r="A106" t="s">
        <v>19</v>
      </c>
      <c r="B106" t="s">
        <v>82</v>
      </c>
      <c r="C106">
        <v>28</v>
      </c>
      <c r="D106">
        <v>849.7</v>
      </c>
      <c r="G106" s="18" t="s">
        <v>19</v>
      </c>
      <c r="H106" t="s">
        <v>158</v>
      </c>
      <c r="I106">
        <v>178</v>
      </c>
      <c r="L106" s="18" t="s">
        <v>19</v>
      </c>
      <c r="M106" t="s">
        <v>158</v>
      </c>
      <c r="N106">
        <v>7691.3</v>
      </c>
    </row>
    <row r="107" spans="1:14" x14ac:dyDescent="0.35">
      <c r="A107" t="s">
        <v>19</v>
      </c>
      <c r="B107" t="s">
        <v>243</v>
      </c>
      <c r="C107">
        <v>4</v>
      </c>
      <c r="D107">
        <v>116.4</v>
      </c>
      <c r="G107" s="18" t="s">
        <v>19</v>
      </c>
      <c r="H107" t="s">
        <v>55</v>
      </c>
      <c r="I107">
        <v>699</v>
      </c>
      <c r="L107" s="18" t="s">
        <v>19</v>
      </c>
      <c r="M107" t="s">
        <v>55</v>
      </c>
      <c r="N107">
        <v>37784.900000000016</v>
      </c>
    </row>
    <row r="108" spans="1:14" x14ac:dyDescent="0.35">
      <c r="G108" s="18" t="s">
        <v>19</v>
      </c>
      <c r="H108" t="s">
        <v>342</v>
      </c>
      <c r="I108">
        <v>23</v>
      </c>
      <c r="L108" s="18" t="s">
        <v>19</v>
      </c>
      <c r="M108" t="s">
        <v>342</v>
      </c>
      <c r="N108">
        <v>1129.7</v>
      </c>
    </row>
    <row r="109" spans="1:14" x14ac:dyDescent="0.35">
      <c r="G109" s="18" t="s">
        <v>19</v>
      </c>
      <c r="H109" t="s">
        <v>59</v>
      </c>
      <c r="I109">
        <v>356</v>
      </c>
      <c r="L109" s="18" t="s">
        <v>19</v>
      </c>
      <c r="M109" t="s">
        <v>59</v>
      </c>
      <c r="N109">
        <v>20988.9</v>
      </c>
    </row>
    <row r="110" spans="1:14" x14ac:dyDescent="0.35">
      <c r="G110" s="18" t="s">
        <v>19</v>
      </c>
      <c r="H110" t="s">
        <v>62</v>
      </c>
      <c r="I110">
        <v>1768</v>
      </c>
      <c r="L110" s="18" t="s">
        <v>19</v>
      </c>
      <c r="M110" t="s">
        <v>62</v>
      </c>
      <c r="N110">
        <v>98367.099999999977</v>
      </c>
    </row>
    <row r="111" spans="1:14" x14ac:dyDescent="0.35">
      <c r="G111" s="18" t="s">
        <v>19</v>
      </c>
      <c r="H111" t="s">
        <v>103</v>
      </c>
      <c r="I111">
        <v>307</v>
      </c>
      <c r="L111" s="18" t="s">
        <v>19</v>
      </c>
      <c r="M111" t="s">
        <v>103</v>
      </c>
      <c r="N111">
        <v>21911.9</v>
      </c>
    </row>
    <row r="112" spans="1:14" x14ac:dyDescent="0.35">
      <c r="G112" s="18" t="s">
        <v>19</v>
      </c>
      <c r="H112" t="s">
        <v>201</v>
      </c>
      <c r="I112">
        <v>117</v>
      </c>
      <c r="L112" s="18" t="s">
        <v>19</v>
      </c>
      <c r="M112" t="s">
        <v>201</v>
      </c>
      <c r="N112">
        <v>5441.2</v>
      </c>
    </row>
    <row r="113" spans="7:14" x14ac:dyDescent="0.35">
      <c r="G113" s="18" t="s">
        <v>19</v>
      </c>
      <c r="H113" t="s">
        <v>429</v>
      </c>
      <c r="I113">
        <v>13</v>
      </c>
      <c r="L113" s="18" t="s">
        <v>19</v>
      </c>
      <c r="M113" t="s">
        <v>429</v>
      </c>
      <c r="N113">
        <v>392.8</v>
      </c>
    </row>
    <row r="114" spans="7:14" x14ac:dyDescent="0.35">
      <c r="G114" s="18" t="s">
        <v>19</v>
      </c>
      <c r="H114" t="s">
        <v>72</v>
      </c>
      <c r="I114">
        <v>364</v>
      </c>
      <c r="L114" s="18" t="s">
        <v>19</v>
      </c>
      <c r="M114" t="s">
        <v>72</v>
      </c>
      <c r="N114">
        <v>16172.000000000005</v>
      </c>
    </row>
    <row r="115" spans="7:14" x14ac:dyDescent="0.35">
      <c r="G115" s="18" t="s">
        <v>19</v>
      </c>
      <c r="H115" t="s">
        <v>74</v>
      </c>
      <c r="I115">
        <v>95</v>
      </c>
      <c r="L115" s="18" t="s">
        <v>19</v>
      </c>
      <c r="M115" t="s">
        <v>74</v>
      </c>
      <c r="N115">
        <v>4334.9999999999991</v>
      </c>
    </row>
    <row r="116" spans="7:14" x14ac:dyDescent="0.35">
      <c r="G116" s="18" t="s">
        <v>19</v>
      </c>
      <c r="H116" t="s">
        <v>77</v>
      </c>
      <c r="I116">
        <v>737</v>
      </c>
      <c r="L116" s="18" t="s">
        <v>19</v>
      </c>
      <c r="M116" t="s">
        <v>77</v>
      </c>
      <c r="N116">
        <v>37449.000000000007</v>
      </c>
    </row>
    <row r="117" spans="7:14" x14ac:dyDescent="0.35">
      <c r="G117" s="18" t="s">
        <v>19</v>
      </c>
      <c r="H117" t="s">
        <v>309</v>
      </c>
      <c r="I117">
        <v>39</v>
      </c>
      <c r="L117" s="18" t="s">
        <v>19</v>
      </c>
      <c r="M117" t="s">
        <v>309</v>
      </c>
      <c r="N117">
        <v>2447.5</v>
      </c>
    </row>
    <row r="118" spans="7:14" x14ac:dyDescent="0.35">
      <c r="G118" s="18" t="s">
        <v>19</v>
      </c>
      <c r="H118" t="s">
        <v>1116</v>
      </c>
      <c r="I118">
        <v>56</v>
      </c>
      <c r="L118" s="18" t="s">
        <v>19</v>
      </c>
      <c r="M118" t="s">
        <v>1116</v>
      </c>
      <c r="N118">
        <v>3391.1</v>
      </c>
    </row>
    <row r="119" spans="7:14" x14ac:dyDescent="0.35">
      <c r="G119" s="18" t="s">
        <v>19</v>
      </c>
      <c r="H119" t="s">
        <v>700</v>
      </c>
      <c r="I119">
        <v>2</v>
      </c>
      <c r="L119" s="18" t="s">
        <v>19</v>
      </c>
      <c r="M119" t="s">
        <v>700</v>
      </c>
      <c r="N119">
        <v>30.8</v>
      </c>
    </row>
    <row r="120" spans="7:14" x14ac:dyDescent="0.35">
      <c r="G120" s="18" t="s">
        <v>19</v>
      </c>
      <c r="H120" t="s">
        <v>268</v>
      </c>
      <c r="I120">
        <v>8</v>
      </c>
      <c r="L120" s="18" t="s">
        <v>19</v>
      </c>
      <c r="M120" t="s">
        <v>268</v>
      </c>
      <c r="N120">
        <v>332.3</v>
      </c>
    </row>
    <row r="121" spans="7:14" x14ac:dyDescent="0.35">
      <c r="G121" s="18" t="s">
        <v>19</v>
      </c>
      <c r="H121" t="s">
        <v>377</v>
      </c>
      <c r="I121">
        <v>52</v>
      </c>
      <c r="L121" s="18" t="s">
        <v>19</v>
      </c>
      <c r="M121" t="s">
        <v>377</v>
      </c>
      <c r="N121">
        <v>3175.9999999999995</v>
      </c>
    </row>
    <row r="122" spans="7:14" x14ac:dyDescent="0.35">
      <c r="G122" s="18" t="s">
        <v>19</v>
      </c>
      <c r="H122" t="s">
        <v>108</v>
      </c>
      <c r="I122">
        <v>295</v>
      </c>
      <c r="L122" s="18" t="s">
        <v>19</v>
      </c>
      <c r="M122" t="s">
        <v>108</v>
      </c>
      <c r="N122">
        <v>20939.600000000002</v>
      </c>
    </row>
    <row r="123" spans="7:14" x14ac:dyDescent="0.35">
      <c r="G123" s="18" t="s">
        <v>19</v>
      </c>
      <c r="H123" t="s">
        <v>110</v>
      </c>
      <c r="I123">
        <v>195</v>
      </c>
      <c r="L123" s="18" t="s">
        <v>19</v>
      </c>
      <c r="M123" t="s">
        <v>110</v>
      </c>
      <c r="N123">
        <v>10185.899999999996</v>
      </c>
    </row>
    <row r="124" spans="7:14" x14ac:dyDescent="0.35">
      <c r="G124" s="18" t="s">
        <v>19</v>
      </c>
      <c r="H124" t="s">
        <v>292</v>
      </c>
      <c r="I124">
        <v>20</v>
      </c>
      <c r="L124" s="18" t="s">
        <v>19</v>
      </c>
      <c r="M124" t="s">
        <v>292</v>
      </c>
      <c r="N124">
        <v>958.7</v>
      </c>
    </row>
    <row r="125" spans="7:14" x14ac:dyDescent="0.35">
      <c r="G125" s="18" t="s">
        <v>19</v>
      </c>
      <c r="H125" t="s">
        <v>79</v>
      </c>
      <c r="I125">
        <v>6</v>
      </c>
      <c r="L125" s="18" t="s">
        <v>19</v>
      </c>
      <c r="M125" t="s">
        <v>79</v>
      </c>
      <c r="N125">
        <v>323</v>
      </c>
    </row>
    <row r="126" spans="7:14" x14ac:dyDescent="0.35">
      <c r="G126" s="18" t="s">
        <v>19</v>
      </c>
      <c r="H126" t="s">
        <v>608</v>
      </c>
      <c r="I126">
        <v>5</v>
      </c>
      <c r="L126" s="18" t="s">
        <v>19</v>
      </c>
      <c r="M126" t="s">
        <v>608</v>
      </c>
      <c r="N126">
        <v>167.70000000000002</v>
      </c>
    </row>
    <row r="127" spans="7:14" x14ac:dyDescent="0.35">
      <c r="G127" s="18" t="s">
        <v>19</v>
      </c>
      <c r="H127" t="s">
        <v>113</v>
      </c>
      <c r="I127">
        <v>94</v>
      </c>
      <c r="L127" s="18" t="s">
        <v>19</v>
      </c>
      <c r="M127" t="s">
        <v>113</v>
      </c>
      <c r="N127">
        <v>3978.5</v>
      </c>
    </row>
    <row r="128" spans="7:14" x14ac:dyDescent="0.35">
      <c r="G128" s="18" t="s">
        <v>19</v>
      </c>
      <c r="H128" t="s">
        <v>997</v>
      </c>
      <c r="I128">
        <v>28</v>
      </c>
      <c r="L128" s="18" t="s">
        <v>19</v>
      </c>
      <c r="M128" t="s">
        <v>997</v>
      </c>
      <c r="N128">
        <v>1405</v>
      </c>
    </row>
    <row r="129" spans="7:14" x14ac:dyDescent="0.35">
      <c r="G129" s="18" t="s">
        <v>19</v>
      </c>
      <c r="H129" t="s">
        <v>82</v>
      </c>
      <c r="I129">
        <v>179</v>
      </c>
      <c r="L129" s="18" t="s">
        <v>19</v>
      </c>
      <c r="M129" t="s">
        <v>82</v>
      </c>
      <c r="N129">
        <v>9869.0999999999985</v>
      </c>
    </row>
    <row r="130" spans="7:14" x14ac:dyDescent="0.35">
      <c r="G130" s="18" t="s">
        <v>19</v>
      </c>
      <c r="H130" t="s">
        <v>243</v>
      </c>
      <c r="I130">
        <v>15</v>
      </c>
      <c r="L130" s="18" t="s">
        <v>19</v>
      </c>
      <c r="M130" t="s">
        <v>243</v>
      </c>
      <c r="N130">
        <v>615.29999999999995</v>
      </c>
    </row>
    <row r="131" spans="7:14" x14ac:dyDescent="0.35">
      <c r="G131" s="19" t="s">
        <v>19</v>
      </c>
      <c r="H131" t="s">
        <v>1911</v>
      </c>
      <c r="I131">
        <v>3</v>
      </c>
      <c r="L131" s="19" t="s">
        <v>19</v>
      </c>
      <c r="M131" t="s">
        <v>1911</v>
      </c>
      <c r="N131">
        <v>285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957A-B47C-4D0B-9312-2C7DFFDDDFEB}">
  <dimension ref="A2:L10"/>
  <sheetViews>
    <sheetView showGridLines="0" topLeftCell="A5" workbookViewId="0">
      <selection activeCell="B7" sqref="B7"/>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5" max="5" width="8.7265625" bestFit="1" customWidth="1"/>
    <col min="6" max="6" width="10.36328125" bestFit="1" customWidth="1"/>
    <col min="8" max="8" width="10.26953125" bestFit="1" customWidth="1"/>
    <col min="9" max="9" width="6.81640625" bestFit="1" customWidth="1"/>
    <col min="10" max="10" width="5.90625" bestFit="1" customWidth="1"/>
    <col min="11" max="11" width="5.453125" bestFit="1" customWidth="1"/>
    <col min="12" max="12" width="8.26953125" bestFit="1" customWidth="1"/>
  </cols>
  <sheetData>
    <row r="2" spans="1:12" x14ac:dyDescent="0.35">
      <c r="H2" t="s">
        <v>2563</v>
      </c>
    </row>
    <row r="3" spans="1:12" ht="20" customHeight="1" thickBot="1" x14ac:dyDescent="0.4">
      <c r="A3" s="12" t="s">
        <v>2550</v>
      </c>
      <c r="B3" s="12" t="s">
        <v>2562</v>
      </c>
    </row>
    <row r="4" spans="1:12" ht="20" customHeight="1" thickTop="1" thickBot="1" x14ac:dyDescent="0.4">
      <c r="A4" s="12" t="s">
        <v>2560</v>
      </c>
      <c r="B4" t="s">
        <v>2558</v>
      </c>
      <c r="C4" t="s">
        <v>2557</v>
      </c>
      <c r="D4" t="s">
        <v>2559</v>
      </c>
      <c r="E4" t="s">
        <v>2556</v>
      </c>
      <c r="F4" t="s">
        <v>2561</v>
      </c>
      <c r="H4" s="16"/>
      <c r="I4" s="16" t="str">
        <f>B4</f>
        <v>Female</v>
      </c>
      <c r="J4" s="16" t="str">
        <f t="shared" ref="J4:L4" si="0">C4</f>
        <v>Male</v>
      </c>
      <c r="K4" s="16" t="str">
        <f t="shared" si="0"/>
        <v>Other</v>
      </c>
      <c r="L4" s="16" t="str">
        <f t="shared" si="0"/>
        <v>Unknown</v>
      </c>
    </row>
    <row r="5" spans="1:12" ht="20" customHeight="1" thickTop="1" thickBot="1" x14ac:dyDescent="0.4">
      <c r="A5" s="13" t="s">
        <v>18</v>
      </c>
      <c r="B5" s="15">
        <v>0.18961825201634841</v>
      </c>
      <c r="C5" s="15">
        <v>0.12262322351336576</v>
      </c>
      <c r="D5" s="15">
        <v>1.060537752469185E-2</v>
      </c>
      <c r="E5" s="15">
        <v>3.0599220547662797E-2</v>
      </c>
      <c r="F5" s="15">
        <v>0.35344607360206881</v>
      </c>
      <c r="H5" s="16" t="str">
        <f>A5</f>
        <v>App</v>
      </c>
      <c r="I5" s="17">
        <f t="shared" ref="I5:K5" si="1">B5</f>
        <v>0.18961825201634841</v>
      </c>
      <c r="J5" s="17">
        <f t="shared" si="1"/>
        <v>0.12262322351336576</v>
      </c>
      <c r="K5" s="17">
        <f t="shared" si="1"/>
        <v>1.060537752469185E-2</v>
      </c>
      <c r="L5" s="17">
        <f>E5</f>
        <v>3.0599220547662797E-2</v>
      </c>
    </row>
    <row r="6" spans="1:12" ht="20" customHeight="1" thickTop="1" thickBot="1" x14ac:dyDescent="0.4">
      <c r="A6" s="13" t="s">
        <v>51</v>
      </c>
      <c r="B6" s="15">
        <v>5.0283982091147303E-2</v>
      </c>
      <c r="C6" s="15">
        <v>4.3060781812819873E-2</v>
      </c>
      <c r="D6" s="15">
        <v>1.5320025675641944E-3</v>
      </c>
      <c r="E6" s="15">
        <v>1.7794988689097006E-2</v>
      </c>
      <c r="F6" s="15">
        <v>0.11267175516062837</v>
      </c>
      <c r="H6" s="16" t="str">
        <f t="shared" ref="H6:H9" si="2">A6</f>
        <v>Instagram</v>
      </c>
      <c r="I6" s="17">
        <f t="shared" ref="I6:I9" si="3">B6</f>
        <v>5.0283982091147303E-2</v>
      </c>
      <c r="J6" s="17">
        <f t="shared" ref="J6:J9" si="4">C6</f>
        <v>4.3060781812819873E-2</v>
      </c>
      <c r="K6" s="17">
        <f t="shared" ref="K6:K9" si="5">D6</f>
        <v>1.5320025675641944E-3</v>
      </c>
      <c r="L6" s="17">
        <f t="shared" ref="L6:L9" si="6">E6</f>
        <v>1.7794988689097006E-2</v>
      </c>
    </row>
    <row r="7" spans="1:12" ht="20" customHeight="1" thickTop="1" thickBot="1" x14ac:dyDescent="0.4">
      <c r="A7" s="13" t="s">
        <v>70</v>
      </c>
      <c r="B7" s="15">
        <v>6.3496059750411282E-2</v>
      </c>
      <c r="C7" s="15">
        <v>4.6071629863988765E-2</v>
      </c>
      <c r="D7" s="15">
        <v>2.306247051322625E-3</v>
      </c>
      <c r="E7" s="15">
        <v>3.8927934093844286E-3</v>
      </c>
      <c r="F7" s="15">
        <v>0.11576673007510711</v>
      </c>
      <c r="H7" s="16" t="str">
        <f t="shared" si="2"/>
        <v>Partner App</v>
      </c>
      <c r="I7" s="17">
        <f t="shared" si="3"/>
        <v>6.3496059750411282E-2</v>
      </c>
      <c r="J7" s="17">
        <f t="shared" si="4"/>
        <v>4.6071629863988765E-2</v>
      </c>
      <c r="K7" s="17">
        <f t="shared" si="5"/>
        <v>2.306247051322625E-3</v>
      </c>
      <c r="L7" s="17">
        <f t="shared" si="6"/>
        <v>3.8927934093844286E-3</v>
      </c>
    </row>
    <row r="8" spans="1:12" ht="20" customHeight="1" thickTop="1" thickBot="1" x14ac:dyDescent="0.4">
      <c r="A8" s="13" t="s">
        <v>40</v>
      </c>
      <c r="B8" s="15">
        <v>9.6337892927149532E-2</v>
      </c>
      <c r="C8" s="15">
        <v>6.7920115842382611E-2</v>
      </c>
      <c r="D8" s="15">
        <v>5.4979832664581261E-3</v>
      </c>
      <c r="E8" s="15">
        <v>1.2933041488102518E-2</v>
      </c>
      <c r="F8" s="15">
        <v>0.1826890335240928</v>
      </c>
      <c r="H8" s="16" t="str">
        <f t="shared" si="2"/>
        <v>Target.com</v>
      </c>
      <c r="I8" s="17">
        <f t="shared" si="3"/>
        <v>9.6337892927149532E-2</v>
      </c>
      <c r="J8" s="17">
        <f t="shared" si="4"/>
        <v>6.7920115842382611E-2</v>
      </c>
      <c r="K8" s="17">
        <f t="shared" si="5"/>
        <v>5.4979832664581261E-3</v>
      </c>
      <c r="L8" s="17">
        <f t="shared" si="6"/>
        <v>1.2933041488102518E-2</v>
      </c>
    </row>
    <row r="9" spans="1:12" ht="20" customHeight="1" thickTop="1" thickBot="1" x14ac:dyDescent="0.4">
      <c r="A9" s="13" t="s">
        <v>35</v>
      </c>
      <c r="B9" s="15">
        <v>0.12522098709469262</v>
      </c>
      <c r="C9" s="15">
        <v>9.1492740283116228E-2</v>
      </c>
      <c r="D9" s="15">
        <v>6.3042760790965081E-3</v>
      </c>
      <c r="E9" s="15">
        <v>1.2408404181197551E-2</v>
      </c>
      <c r="F9" s="15">
        <v>0.23542640763810288</v>
      </c>
      <c r="H9" s="16" t="str">
        <f t="shared" si="2"/>
        <v>Website</v>
      </c>
      <c r="I9" s="17">
        <f t="shared" si="3"/>
        <v>0.12522098709469262</v>
      </c>
      <c r="J9" s="17">
        <f t="shared" si="4"/>
        <v>9.1492740283116228E-2</v>
      </c>
      <c r="K9" s="17">
        <f t="shared" si="5"/>
        <v>6.3042760790965081E-3</v>
      </c>
      <c r="L9" s="17">
        <f t="shared" si="6"/>
        <v>1.2408404181197551E-2</v>
      </c>
    </row>
    <row r="10" spans="1:12" ht="15" thickTop="1" x14ac:dyDescent="0.35">
      <c r="A10" s="13" t="s">
        <v>2561</v>
      </c>
      <c r="B10" s="15">
        <v>0.52495717387974916</v>
      </c>
      <c r="C10" s="15">
        <v>0.3711684913156732</v>
      </c>
      <c r="D10" s="15">
        <v>2.6245886489133303E-2</v>
      </c>
      <c r="E10" s="15">
        <v>7.7628448315444312E-2</v>
      </c>
      <c r="F10" s="15">
        <v>1</v>
      </c>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C72CC-0D16-4997-A14E-835ED8D87A83}">
  <dimension ref="A3:G28"/>
  <sheetViews>
    <sheetView topLeftCell="A4" zoomScale="70" zoomScaleNormal="70" workbookViewId="0">
      <selection activeCell="C33" sqref="C33"/>
    </sheetView>
  </sheetViews>
  <sheetFormatPr defaultRowHeight="14.5" x14ac:dyDescent="0.35"/>
  <cols>
    <col min="1" max="1" width="13.36328125" bestFit="1" customWidth="1"/>
    <col min="2" max="2" width="16.453125" bestFit="1" customWidth="1"/>
    <col min="3" max="4" width="2.81640625" bestFit="1" customWidth="1"/>
    <col min="5" max="5" width="3.81640625" bestFit="1" customWidth="1"/>
    <col min="6" max="6" width="2.81640625" bestFit="1" customWidth="1"/>
    <col min="7" max="7" width="10.36328125" bestFit="1" customWidth="1"/>
    <col min="8" max="32" width="8.81640625" bestFit="1" customWidth="1"/>
    <col min="33" max="89" width="9.1796875" bestFit="1" customWidth="1"/>
    <col min="90" max="90" width="10.36328125" bestFit="1" customWidth="1"/>
  </cols>
  <sheetData>
    <row r="3" spans="1:2" x14ac:dyDescent="0.35">
      <c r="A3" s="12" t="s">
        <v>2560</v>
      </c>
      <c r="B3" t="s">
        <v>2548</v>
      </c>
    </row>
    <row r="4" spans="1:2" x14ac:dyDescent="0.35">
      <c r="A4" s="13">
        <v>0</v>
      </c>
      <c r="B4">
        <v>17</v>
      </c>
    </row>
    <row r="5" spans="1:2" x14ac:dyDescent="0.35">
      <c r="A5" s="13">
        <v>1</v>
      </c>
      <c r="B5">
        <v>86</v>
      </c>
    </row>
    <row r="6" spans="1:2" x14ac:dyDescent="0.35">
      <c r="A6" s="13">
        <v>2</v>
      </c>
      <c r="B6">
        <v>50</v>
      </c>
    </row>
    <row r="7" spans="1:2" x14ac:dyDescent="0.35">
      <c r="A7" s="13">
        <v>3</v>
      </c>
      <c r="B7">
        <v>37</v>
      </c>
    </row>
    <row r="8" spans="1:2" x14ac:dyDescent="0.35">
      <c r="A8" s="13">
        <v>4</v>
      </c>
      <c r="B8">
        <v>28</v>
      </c>
    </row>
    <row r="9" spans="1:2" x14ac:dyDescent="0.35">
      <c r="A9" s="13">
        <v>5</v>
      </c>
      <c r="B9">
        <v>12</v>
      </c>
    </row>
    <row r="10" spans="1:2" x14ac:dyDescent="0.35">
      <c r="A10" s="13">
        <v>6</v>
      </c>
      <c r="B10">
        <v>11</v>
      </c>
    </row>
    <row r="11" spans="1:2" x14ac:dyDescent="0.35">
      <c r="A11" s="13">
        <v>7</v>
      </c>
      <c r="B11">
        <v>2</v>
      </c>
    </row>
    <row r="12" spans="1:2" x14ac:dyDescent="0.35">
      <c r="A12" s="13">
        <v>8</v>
      </c>
      <c r="B12">
        <v>3</v>
      </c>
    </row>
    <row r="13" spans="1:2" x14ac:dyDescent="0.35">
      <c r="A13" s="13">
        <v>9</v>
      </c>
      <c r="B13">
        <v>1</v>
      </c>
    </row>
    <row r="14" spans="1:2" x14ac:dyDescent="0.35">
      <c r="A14" s="13">
        <v>13</v>
      </c>
      <c r="B14">
        <v>1</v>
      </c>
    </row>
    <row r="15" spans="1:2" x14ac:dyDescent="0.35">
      <c r="A15" s="13" t="s">
        <v>2561</v>
      </c>
      <c r="B15">
        <v>248</v>
      </c>
    </row>
    <row r="23" spans="1:7" x14ac:dyDescent="0.35">
      <c r="A23" s="12" t="s">
        <v>2548</v>
      </c>
      <c r="B23" s="12" t="s">
        <v>2562</v>
      </c>
    </row>
    <row r="24" spans="1:7" x14ac:dyDescent="0.35">
      <c r="A24" s="12" t="s">
        <v>2560</v>
      </c>
      <c r="B24">
        <v>1</v>
      </c>
      <c r="C24">
        <v>2</v>
      </c>
      <c r="D24">
        <v>3</v>
      </c>
      <c r="E24">
        <v>4</v>
      </c>
      <c r="F24">
        <v>5</v>
      </c>
      <c r="G24" t="s">
        <v>2561</v>
      </c>
    </row>
    <row r="25" spans="1:7" x14ac:dyDescent="0.35">
      <c r="A25" s="13" t="s">
        <v>2568</v>
      </c>
      <c r="B25">
        <v>2</v>
      </c>
      <c r="C25">
        <v>2</v>
      </c>
      <c r="D25">
        <v>13</v>
      </c>
      <c r="E25">
        <v>42</v>
      </c>
      <c r="F25">
        <v>24</v>
      </c>
      <c r="G25">
        <v>83</v>
      </c>
    </row>
    <row r="26" spans="1:7" x14ac:dyDescent="0.35">
      <c r="A26" s="13" t="s">
        <v>2569</v>
      </c>
      <c r="B26">
        <v>1</v>
      </c>
      <c r="C26">
        <v>4</v>
      </c>
      <c r="D26">
        <v>14</v>
      </c>
      <c r="E26">
        <v>36</v>
      </c>
      <c r="F26">
        <v>37</v>
      </c>
      <c r="G26">
        <v>92</v>
      </c>
    </row>
    <row r="27" spans="1:7" x14ac:dyDescent="0.35">
      <c r="A27" s="13" t="s">
        <v>2570</v>
      </c>
      <c r="B27">
        <v>2</v>
      </c>
      <c r="C27">
        <v>5</v>
      </c>
      <c r="D27">
        <v>13</v>
      </c>
      <c r="E27">
        <v>31</v>
      </c>
      <c r="F27">
        <v>22</v>
      </c>
      <c r="G27">
        <v>73</v>
      </c>
    </row>
    <row r="28" spans="1:7" x14ac:dyDescent="0.35">
      <c r="A28" s="13" t="s">
        <v>2561</v>
      </c>
      <c r="B28">
        <v>5</v>
      </c>
      <c r="C28">
        <v>11</v>
      </c>
      <c r="D28">
        <v>40</v>
      </c>
      <c r="E28">
        <v>109</v>
      </c>
      <c r="F28">
        <v>83</v>
      </c>
      <c r="G28">
        <v>248</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E7" sqref="E7"/>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1" sqref="B11"/>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showGridLines="0" tabSelected="1" topLeftCell="L1" zoomScale="60" zoomScaleNormal="60" workbookViewId="0">
      <selection activeCell="AK17" sqref="AK17"/>
    </sheetView>
  </sheetViews>
  <sheetFormatPr defaultRowHeight="14.5" x14ac:dyDescent="0.35"/>
  <cols>
    <col min="1" max="1" width="3.36328125" customWidth="1"/>
    <col min="2" max="2" width="22.1796875" customWidth="1"/>
    <col min="3" max="4" width="3.36328125" customWidth="1"/>
    <col min="26" max="26" width="3.363281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3:H24"/>
  <sheetViews>
    <sheetView topLeftCell="A13" workbookViewId="0">
      <selection activeCell="B18" sqref="B18"/>
    </sheetView>
  </sheetViews>
  <sheetFormatPr defaultRowHeight="14.5" x14ac:dyDescent="0.35"/>
  <cols>
    <col min="1" max="1" width="3.36328125" customWidth="1"/>
    <col min="8" max="8" width="37.36328125" customWidth="1"/>
  </cols>
  <sheetData>
    <row r="3" spans="2:8" x14ac:dyDescent="0.35">
      <c r="B3" t="s">
        <v>2518</v>
      </c>
    </row>
    <row r="4" spans="2:8" x14ac:dyDescent="0.35">
      <c r="H4" s="11"/>
    </row>
    <row r="5" spans="2:8" x14ac:dyDescent="0.35">
      <c r="B5" t="s">
        <v>2519</v>
      </c>
      <c r="H5" s="11"/>
    </row>
    <row r="6" spans="2:8" x14ac:dyDescent="0.35">
      <c r="B6" s="5"/>
      <c r="C6" t="s">
        <v>2520</v>
      </c>
      <c r="D6" t="s">
        <v>2526</v>
      </c>
    </row>
    <row r="7" spans="2:8" x14ac:dyDescent="0.35">
      <c r="B7" s="6"/>
      <c r="C7" t="s">
        <v>2521</v>
      </c>
      <c r="D7" t="s">
        <v>2527</v>
      </c>
    </row>
    <row r="8" spans="2:8" x14ac:dyDescent="0.35">
      <c r="B8" s="7"/>
      <c r="C8" t="s">
        <v>2522</v>
      </c>
      <c r="D8" t="s">
        <v>2528</v>
      </c>
    </row>
    <row r="9" spans="2:8" x14ac:dyDescent="0.35">
      <c r="B9" s="8"/>
      <c r="C9" t="s">
        <v>2523</v>
      </c>
      <c r="D9" t="s">
        <v>2529</v>
      </c>
    </row>
    <row r="10" spans="2:8" x14ac:dyDescent="0.35">
      <c r="B10" s="9"/>
      <c r="C10" t="s">
        <v>2524</v>
      </c>
      <c r="D10" t="s">
        <v>2530</v>
      </c>
    </row>
    <row r="11" spans="2:8" x14ac:dyDescent="0.35">
      <c r="B11" s="2"/>
      <c r="C11" t="s">
        <v>2525</v>
      </c>
      <c r="D11" t="s">
        <v>2531</v>
      </c>
    </row>
    <row r="13" spans="2:8" x14ac:dyDescent="0.35">
      <c r="B13" t="s">
        <v>2532</v>
      </c>
    </row>
    <row r="14" spans="2:8" x14ac:dyDescent="0.35">
      <c r="B14" t="s">
        <v>2533</v>
      </c>
      <c r="C14" t="s">
        <v>2538</v>
      </c>
    </row>
    <row r="15" spans="2:8" x14ac:dyDescent="0.35">
      <c r="B15" t="s">
        <v>2534</v>
      </c>
      <c r="C15" t="s">
        <v>2</v>
      </c>
    </row>
    <row r="16" spans="2:8" x14ac:dyDescent="0.35">
      <c r="B16" t="s">
        <v>2535</v>
      </c>
      <c r="C16" t="s">
        <v>4</v>
      </c>
    </row>
    <row r="17" spans="2:3" x14ac:dyDescent="0.35">
      <c r="B17" t="s">
        <v>2536</v>
      </c>
      <c r="C17" t="s">
        <v>2539</v>
      </c>
    </row>
    <row r="18" spans="2:3" x14ac:dyDescent="0.35">
      <c r="B18" t="s">
        <v>2537</v>
      </c>
      <c r="C18" t="s">
        <v>2540</v>
      </c>
    </row>
    <row r="21" spans="2:3" x14ac:dyDescent="0.35">
      <c r="B21" t="s">
        <v>2541</v>
      </c>
    </row>
    <row r="22" spans="2:3" x14ac:dyDescent="0.35">
      <c r="B22" t="s">
        <v>2542</v>
      </c>
      <c r="C22" t="s">
        <v>2543</v>
      </c>
    </row>
    <row r="23" spans="2:3" x14ac:dyDescent="0.35">
      <c r="B23" t="s">
        <v>2544</v>
      </c>
      <c r="C23" t="s">
        <v>2545</v>
      </c>
    </row>
    <row r="24" spans="2:3" x14ac:dyDescent="0.35">
      <c r="B24" s="10" t="s">
        <v>2546</v>
      </c>
      <c r="C24" t="s">
        <v>2547</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Pivots</vt:lpstr>
      <vt:lpstr>Sheet3</vt:lpstr>
      <vt:lpstr>Sheet1</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Roshani Thombare</cp:lastModifiedBy>
  <dcterms:created xsi:type="dcterms:W3CDTF">2025-06-13T02:42:26Z</dcterms:created>
  <dcterms:modified xsi:type="dcterms:W3CDTF">2026-01-24T12:56:52Z</dcterms:modified>
</cp:coreProperties>
</file>